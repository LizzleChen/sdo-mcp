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cblack\Downloads\"/>
    </mc:Choice>
  </mc:AlternateContent>
  <xr:revisionPtr revIDLastSave="0" documentId="8_{B682A3C6-B529-4266-9A3F-96ECEC2CA5EC}" xr6:coauthVersionLast="47" xr6:coauthVersionMax="47" xr10:uidLastSave="{00000000-0000-0000-0000-000000000000}"/>
  <bookViews>
    <workbookView xWindow="54300" yWindow="1500" windowWidth="30465" windowHeight="21495" xr2:uid="{00000000-000D-0000-FFFF-FFFF00000000}"/>
  </bookViews>
  <sheets>
    <sheet name="Projections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8" l="1"/>
  <c r="K4" i="18"/>
  <c r="L4" i="18"/>
  <c r="I4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AB49" i="18"/>
  <c r="AA49" i="18"/>
  <c r="Z49" i="18"/>
  <c r="Y49" i="18"/>
  <c r="V49" i="18"/>
  <c r="U49" i="18"/>
  <c r="T49" i="18"/>
  <c r="S49" i="18"/>
  <c r="C49" i="18"/>
  <c r="R49" i="18" s="1"/>
  <c r="AB48" i="18"/>
  <c r="AA48" i="18"/>
  <c r="Z48" i="18"/>
  <c r="Y48" i="18"/>
  <c r="X48" i="18"/>
  <c r="W48" i="18"/>
  <c r="V48" i="18"/>
  <c r="U48" i="18"/>
  <c r="T48" i="18"/>
  <c r="S48" i="18"/>
  <c r="R48" i="18"/>
  <c r="Q48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AB9" i="18"/>
  <c r="AA9" i="18"/>
  <c r="Z9" i="18"/>
  <c r="Y9" i="18"/>
  <c r="X9" i="18"/>
  <c r="W9" i="18"/>
  <c r="V9" i="18"/>
  <c r="U9" i="18"/>
  <c r="T9" i="18"/>
  <c r="S9" i="18"/>
  <c r="R9" i="18"/>
  <c r="Q9" i="18"/>
  <c r="AB8" i="18"/>
  <c r="AA8" i="18"/>
  <c r="Z8" i="18"/>
  <c r="Y8" i="18"/>
  <c r="X8" i="18"/>
  <c r="W8" i="18"/>
  <c r="V8" i="18"/>
  <c r="U8" i="18"/>
  <c r="T8" i="18"/>
  <c r="S8" i="18"/>
  <c r="R8" i="18"/>
  <c r="Q8" i="18"/>
  <c r="AB7" i="18"/>
  <c r="AA7" i="18"/>
  <c r="Z7" i="18"/>
  <c r="Y7" i="18"/>
  <c r="X7" i="18"/>
  <c r="W7" i="18"/>
  <c r="V7" i="18"/>
  <c r="U7" i="18"/>
  <c r="T7" i="18"/>
  <c r="S7" i="18"/>
  <c r="R7" i="18"/>
  <c r="Q7" i="18"/>
  <c r="AB6" i="18"/>
  <c r="AA6" i="18"/>
  <c r="Z6" i="18"/>
  <c r="Y6" i="18"/>
  <c r="X6" i="18"/>
  <c r="W6" i="18"/>
  <c r="V6" i="18"/>
  <c r="U6" i="18"/>
  <c r="T6" i="18"/>
  <c r="S6" i="18"/>
  <c r="R6" i="18"/>
  <c r="Q6" i="18"/>
  <c r="AB5" i="18"/>
  <c r="AA5" i="18"/>
  <c r="Z5" i="18"/>
  <c r="Y5" i="18"/>
  <c r="X5" i="18"/>
  <c r="W5" i="18"/>
  <c r="V5" i="18"/>
  <c r="U5" i="18"/>
  <c r="T5" i="18"/>
  <c r="S5" i="18"/>
  <c r="R5" i="18"/>
  <c r="Q5" i="18"/>
  <c r="Y4" i="18"/>
  <c r="X4" i="18"/>
  <c r="W4" i="18"/>
  <c r="S4" i="18"/>
  <c r="R4" i="18"/>
  <c r="Q4" i="18"/>
  <c r="H4" i="18"/>
  <c r="G4" i="18"/>
  <c r="F4" i="18"/>
  <c r="T4" i="18" l="1"/>
  <c r="V4" i="18"/>
  <c r="W49" i="18"/>
  <c r="U4" i="18"/>
  <c r="Z4" i="18"/>
  <c r="AA4" i="18"/>
  <c r="AB4" i="18"/>
  <c r="X49" i="18"/>
  <c r="Q49" i="18"/>
</calcChain>
</file>

<file path=xl/sharedStrings.xml><?xml version="1.0" encoding="utf-8"?>
<sst xmlns="http://schemas.openxmlformats.org/spreadsheetml/2006/main" count="157" uniqueCount="83">
  <si>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</si>
  <si>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</si>
  <si>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</si>
  <si>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</si>
  <si>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</si>
  <si>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</si>
  <si>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</si>
  <si>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</si>
  <si>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</si>
  <si>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</si>
  <si>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</si>
  <si>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</si>
  <si>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</si>
  <si>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</si>
  <si>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</si>
  <si>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</si>
  <si>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</si>
  <si>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</si>
  <si>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</si>
  <si>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</si>
  <si>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</si>
  <si>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</si>
  <si>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</si>
  <si>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</si>
  <si>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</si>
  <si>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</si>
  <si>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</si>
  <si>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</si>
  <si>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</si>
  <si>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</si>
  <si>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</si>
  <si>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</si>
  <si>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</si>
  <si>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</si>
  <si>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</si>
  <si>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</si>
  <si>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</si>
  <si>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</si>
  <si>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</si>
  <si>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</si>
  <si>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</si>
  <si>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</si>
  <si>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</si>
  <si>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</si>
  <si>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</si>
  <si>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</si>
  <si>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</si>
  <si>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</si>
  <si>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</si>
  <si>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</si>
  <si>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</si>
  <si>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</si>
  <si>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</si>
  <si>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</si>
  <si>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</si>
  <si>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</si>
  <si>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</si>
  <si>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</si>
  <si>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</si>
  <si>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</si>
  <si>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</si>
  <si>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</si>
  <si>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</si>
  <si>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</si>
  <si>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</si>
  <si>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</si>
  <si>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</si>
  <si>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</si>
  <si>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Population Estimates</t>
  </si>
  <si>
    <t>2020-2030</t>
  </si>
  <si>
    <t>2030-2040</t>
  </si>
  <si>
    <t>2040-2050</t>
  </si>
  <si>
    <t>Numeric Population Change</t>
  </si>
  <si>
    <t>Population Trend</t>
  </si>
  <si>
    <t>1990-2050</t>
  </si>
  <si>
    <t>2010-2020</t>
  </si>
  <si>
    <t>2000-2010</t>
  </si>
  <si>
    <t>1990-2000</t>
  </si>
  <si>
    <t xml:space="preserve">Decennial Census </t>
  </si>
  <si>
    <t>Percent Population Change</t>
  </si>
  <si>
    <t>Source:  U.S. Census Bureau and Center for Business and Economic Research, The University of Alabama, October 2024</t>
  </si>
  <si>
    <t>Alabama's County Decennial Census (1990-2020), Population Estimates (2021-2025), and Projections (2030-2050)</t>
  </si>
  <si>
    <t>Population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</si>
</sst>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Garamond"/>
      <family val="1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3" fontId="0" fillId="0" borderId="6" xfId="0" applyNumberFormat="1" applyBorder="1"/>
    <xf numFmtId="3" fontId="0" fillId="0" borderId="5" xfId="0" applyNumberFormat="1" applyBorder="1"/>
    <xf numFmtId="0" fontId="3" fillId="0" borderId="2" xfId="3" applyFont="1" applyBorder="1"/>
    <xf numFmtId="10" fontId="0" fillId="0" borderId="0" xfId="2" applyNumberFormat="1" applyFont="1" applyFill="1" applyBorder="1"/>
    <xf numFmtId="10" fontId="0" fillId="0" borderId="5" xfId="2" applyNumberFormat="1" applyFont="1" applyFill="1" applyBorder="1"/>
    <xf numFmtId="1" fontId="2" fillId="0" borderId="9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6" fillId="0" borderId="0" xfId="0" applyFont="1"/>
    <xf numFmtId="0" fontId="6" fillId="0" borderId="5" xfId="0" applyFont="1" applyBorder="1"/>
    <xf numFmtId="3" fontId="4" fillId="0" borderId="0" xfId="2" applyNumberFormat="1" applyFont="1" applyFill="1" applyBorder="1"/>
    <xf numFmtId="3" fontId="4" fillId="0" borderId="5" xfId="2" applyNumberFormat="1" applyFont="1" applyFill="1" applyBorder="1"/>
    <xf numFmtId="1" fontId="2" fillId="0" borderId="0" xfId="0" applyNumberFormat="1" applyFont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3" fontId="0" fillId="0" borderId="14" xfId="0" applyNumberFormat="1" applyBorder="1"/>
    <xf numFmtId="3" fontId="0" fillId="0" borderId="12" xfId="0" applyNumberFormat="1" applyBorder="1"/>
    <xf numFmtId="3" fontId="4" fillId="0" borderId="10" xfId="2" applyNumberFormat="1" applyFont="1" applyFill="1" applyBorder="1"/>
    <xf numFmtId="10" fontId="0" fillId="0" borderId="10" xfId="2" applyNumberFormat="1" applyFont="1" applyFill="1" applyBorder="1"/>
    <xf numFmtId="0" fontId="6" fillId="0" borderId="10" xfId="0" applyFont="1" applyBorder="1"/>
    <xf numFmtId="0" fontId="8" fillId="0" borderId="0" xfId="0" applyFont="1"/>
    <xf numFmtId="3" fontId="0" fillId="0" borderId="3" xfId="0" applyNumberFormat="1" applyBorder="1"/>
    <xf numFmtId="3" fontId="0" fillId="0" borderId="2" xfId="0" applyNumberFormat="1" applyBorder="1"/>
    <xf numFmtId="3" fontId="0" fillId="0" borderId="4" xfId="0" applyNumberFormat="1" applyBorder="1"/>
    <xf numFmtId="1" fontId="2" fillId="0" borderId="8" xfId="0" applyNumberFormat="1" applyFont="1" applyBorder="1" applyAlignment="1">
      <alignment horizontal="center"/>
    </xf>
    <xf numFmtId="3" fontId="0" fillId="0" borderId="8" xfId="0" applyNumberFormat="1" applyBorder="1"/>
    <xf numFmtId="0" fontId="2" fillId="0" borderId="15" xfId="0" applyFont="1" applyBorder="1" applyAlignment="1">
      <alignment horizontal="center" wrapText="1"/>
    </xf>
    <xf numFmtId="0" fontId="3" fillId="0" borderId="9" xfId="3" applyFont="1" applyBorder="1"/>
    <xf numFmtId="0" fontId="6" fillId="0" borderId="9" xfId="0" applyFont="1" applyBorder="1"/>
    <xf numFmtId="0" fontId="6" fillId="0" borderId="1" xfId="0" applyFont="1" applyBorder="1"/>
    <xf numFmtId="0" fontId="6" fillId="0" borderId="6" xfId="0" applyFont="1" applyBorder="1"/>
    <xf numFmtId="0" fontId="3" fillId="0" borderId="2" xfId="3" applyFont="1" applyBorder="1" applyAlignment="1">
      <alignment horizontal="center" wrapText="1"/>
    </xf>
    <xf numFmtId="0" fontId="3" fillId="0" borderId="4" xfId="3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9" fillId="0" borderId="2" xfId="0" applyFont="1" applyBorder="1" applyAlignment="1">
      <alignment vertical="top" wrapText="1"/>
    </xf>
    <xf numFmtId="3" fontId="0" fillId="0" borderId="0" xfId="0" applyNumberFormat="1" applyBorder="1"/>
    <xf numFmtId="1" fontId="2" fillId="0" borderId="2" xfId="0" applyNumberFormat="1" applyFont="1" applyBorder="1" applyAlignment="1">
      <alignment horizontal="center"/>
    </xf>
    <xf numFmtId="0" fontId="3" fillId="0" borderId="9" xfId="3" applyFont="1" applyBorder="1" applyAlignment="1">
      <alignment horizontal="center"/>
    </xf>
    <xf numFmtId="0" fontId="3" fillId="0" borderId="10" xfId="3" applyFont="1" applyBorder="1" applyAlignment="1">
      <alignment horizontal="center"/>
    </xf>
    <xf numFmtId="0" fontId="3" fillId="0" borderId="11" xfId="3" applyFont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3" fontId="4" fillId="2" borderId="10" xfId="1" applyNumberFormat="1" applyFont="1" applyFill="1" applyBorder="1"/>
    <xf numFmtId="3" fontId="5" fillId="2" borderId="10" xfId="1" applyNumberFormat="1" applyFont="1" applyFill="1" applyBorder="1"/>
    <xf numFmtId="3" fontId="0" fillId="2" borderId="10" xfId="1" applyNumberFormat="1" applyFont="1" applyFill="1" applyBorder="1"/>
    <xf numFmtId="3" fontId="4" fillId="2" borderId="0" xfId="1" applyNumberFormat="1" applyFont="1" applyFill="1" applyBorder="1"/>
    <xf numFmtId="3" fontId="5" fillId="2" borderId="0" xfId="1" applyNumberFormat="1" applyFont="1" applyFill="1" applyBorder="1"/>
    <xf numFmtId="3" fontId="1" fillId="2" borderId="0" xfId="1" applyNumberFormat="1" applyFont="1" applyFill="1" applyBorder="1"/>
    <xf numFmtId="3" fontId="0" fillId="2" borderId="0" xfId="1" applyNumberFormat="1" applyFont="1" applyFill="1" applyBorder="1"/>
    <xf numFmtId="3" fontId="4" fillId="2" borderId="5" xfId="1" applyNumberFormat="1" applyFont="1" applyFill="1" applyBorder="1"/>
    <xf numFmtId="3" fontId="5" fillId="2" borderId="5" xfId="1" applyNumberFormat="1" applyFont="1" applyFill="1" applyBorder="1"/>
    <xf numFmtId="3" fontId="0" fillId="2" borderId="5" xfId="1" applyNumberFormat="1" applyFont="1" applyFill="1" applyBorder="1"/>
    <xf numFmtId="1" fontId="2" fillId="2" borderId="1" xfId="0" applyNumberFormat="1" applyFont="1" applyFill="1" applyBorder="1" applyAlignment="1">
      <alignment horizontal="center"/>
    </xf>
    <xf numFmtId="3" fontId="0" fillId="2" borderId="10" xfId="0" applyNumberFormat="1" applyFill="1" applyBorder="1"/>
    <xf numFmtId="3" fontId="0" fillId="2" borderId="10" xfId="2" applyNumberFormat="1" applyFont="1" applyFill="1" applyBorder="1"/>
    <xf numFmtId="3" fontId="0" fillId="2" borderId="1" xfId="0" applyNumberFormat="1" applyFill="1" applyBorder="1"/>
    <xf numFmtId="3" fontId="0" fillId="2" borderId="0" xfId="2" applyNumberFormat="1" applyFont="1" applyFill="1" applyBorder="1"/>
    <xf numFmtId="3" fontId="0" fillId="2" borderId="6" xfId="0" applyNumberFormat="1" applyFill="1" applyBorder="1"/>
    <xf numFmtId="3" fontId="0" fillId="2" borderId="5" xfId="2" applyNumberFormat="1" applyFont="1" applyFill="1" applyBorder="1"/>
    <xf numFmtId="1" fontId="2" fillId="2" borderId="7" xfId="0" applyNumberFormat="1" applyFont="1" applyFill="1" applyBorder="1" applyAlignment="1">
      <alignment horizontal="center"/>
    </xf>
    <xf numFmtId="1" fontId="2" fillId="2" borderId="13" xfId="0" applyNumberFormat="1" applyFont="1" applyFill="1" applyBorder="1" applyAlignment="1">
      <alignment horizontal="center"/>
    </xf>
    <xf numFmtId="10" fontId="0" fillId="2" borderId="10" xfId="2" applyNumberFormat="1" applyFont="1" applyFill="1" applyBorder="1"/>
    <xf numFmtId="10" fontId="0" fillId="2" borderId="1" xfId="2" applyNumberFormat="1" applyFont="1" applyFill="1" applyBorder="1"/>
    <xf numFmtId="10" fontId="0" fillId="2" borderId="0" xfId="2" applyNumberFormat="1" applyFont="1" applyFill="1" applyBorder="1"/>
    <xf numFmtId="10" fontId="0" fillId="2" borderId="6" xfId="2" applyNumberFormat="1" applyFont="1" applyFill="1" applyBorder="1"/>
    <xf numFmtId="10" fontId="0" fillId="2" borderId="5" xfId="2" applyNumberFormat="1" applyFont="1" applyFill="1" applyBorder="1"/>
    <xf numFmtId="1" fontId="2" fillId="0" borderId="2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/>
    </xf>
    <xf numFmtId="1" fontId="2" fillId="0" borderId="10" xfId="0" applyNumberFormat="1" applyFont="1" applyFill="1" applyBorder="1" applyAlignment="1">
      <alignment horizontal="center"/>
    </xf>
    <xf numFmtId="3" fontId="0" fillId="0" borderId="2" xfId="0" applyNumberFormat="1" applyFill="1" applyBorder="1"/>
    <xf numFmtId="3" fontId="0" fillId="0" borderId="0" xfId="0" applyNumberFormat="1" applyFill="1"/>
    <xf numFmtId="3" fontId="0" fillId="0" borderId="1" xfId="0" applyNumberFormat="1" applyFill="1" applyBorder="1"/>
    <xf numFmtId="3" fontId="0" fillId="0" borderId="0" xfId="0" applyNumberFormat="1" applyFill="1" applyBorder="1"/>
    <xf numFmtId="3" fontId="0" fillId="0" borderId="12" xfId="0" applyNumberFormat="1" applyFill="1" applyBorder="1"/>
    <xf numFmtId="3" fontId="0" fillId="0" borderId="6" xfId="0" applyNumberFormat="1" applyFill="1" applyBorder="1"/>
    <xf numFmtId="3" fontId="0" fillId="0" borderId="5" xfId="0" applyNumberFormat="1" applyFill="1" applyBorder="1"/>
    <xf numFmtId="10" fontId="0" fillId="2" borderId="9" xfId="2" applyNumberFormat="1" applyFont="1" applyFill="1" applyBorder="1"/>
    <xf numFmtId="3" fontId="0" fillId="0" borderId="9" xfId="0" applyNumberFormat="1" applyFill="1" applyBorder="1"/>
  </cellXfs>
  <cellStyles count="4">
    <cellStyle name="Comma" xfId="1" builtinId="3"/>
    <cellStyle name="Normal" xfId="0" builtinId="0"/>
    <cellStyle name="Normal 3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tabSelected="1" workbookViewId="0">
      <selection activeCell="AE19" sqref="AE19"/>
    </sheetView>
  </sheetViews>
  <sheetFormatPr defaultRowHeight="14.5" x14ac:dyDescent="0.35"/>
  <cols>
    <col min="1" max="1" width="12.453125" customWidth="1"/>
    <col min="2" max="2" width="10.453125" customWidth="1"/>
    <col min="3" max="3" width="10.26953125" customWidth="1"/>
    <col min="4" max="4" width="11.453125" customWidth="1"/>
    <col min="5" max="5" width="9.81640625" customWidth="1"/>
    <col min="6" max="6" width="11.54296875" customWidth="1"/>
    <col min="7" max="9" width="10.81640625" customWidth="1"/>
    <col min="10" max="10" width="10" customWidth="1"/>
    <col min="11" max="11" width="11" customWidth="1"/>
    <col min="12" max="12" width="10.7265625" customWidth="1"/>
    <col min="13" max="13" width="10.81640625" customWidth="1"/>
    <col min="14" max="14" width="9.54296875" customWidth="1"/>
    <col min="15" max="15" width="11.1796875" customWidth="1"/>
    <col min="16" max="16" width="17.54296875" customWidth="1"/>
    <col min="17" max="17" width="10.7265625" customWidth="1"/>
    <col min="18" max="18" width="10.81640625" customWidth="1"/>
    <col min="19" max="19" width="11.26953125" customWidth="1"/>
    <col min="20" max="20" width="11.1796875" customWidth="1"/>
    <col min="21" max="21" width="10.453125" customWidth="1"/>
    <col min="22" max="22" width="11.26953125" customWidth="1"/>
    <col min="23" max="24" width="9.81640625" customWidth="1"/>
    <col min="25" max="25" width="12.1796875" customWidth="1"/>
    <col min="26" max="26" width="10.7265625" customWidth="1"/>
    <col min="27" max="27" width="10.81640625" customWidth="1"/>
    <col min="28" max="28" width="9.54296875" customWidth="1"/>
    <col min="29" max="29" width="12.7265625" customWidth="1"/>
  </cols>
  <sheetData>
    <row r="1" spans="1:29" ht="26.25" customHeight="1" x14ac:dyDescent="0.35">
      <c r="A1" s="42" t="s">
        <v>81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x14ac:dyDescent="0.35">
      <c r="A2" s="5"/>
      <c r="B2" s="35" t="s">
        <v>78</v>
      </c>
      <c r="C2" s="35"/>
      <c r="D2" s="35"/>
      <c r="E2" s="36"/>
      <c r="F2" s="45" t="s">
        <v>68</v>
      </c>
      <c r="G2" s="46"/>
      <c r="H2" s="46"/>
      <c r="I2" s="46"/>
      <c r="J2" s="47"/>
      <c r="K2" s="37" t="s">
        <v>82</v>
      </c>
      <c r="L2" s="38"/>
      <c r="M2" s="38"/>
      <c r="N2" s="38"/>
      <c r="O2" s="39"/>
      <c r="P2" s="30" t="s">
        <v>73</v>
      </c>
      <c r="Q2" s="40" t="s">
        <v>72</v>
      </c>
      <c r="R2" s="41"/>
      <c r="S2" s="41"/>
      <c r="T2" s="41"/>
      <c r="U2" s="41"/>
      <c r="V2" s="41"/>
      <c r="W2" s="40" t="s">
        <v>79</v>
      </c>
      <c r="X2" s="41"/>
      <c r="Y2" s="41"/>
      <c r="Z2" s="41"/>
      <c r="AA2" s="41"/>
      <c r="AB2" s="41"/>
      <c r="AC2" s="31"/>
    </row>
    <row r="3" spans="1:29" x14ac:dyDescent="0.35">
      <c r="A3" s="15"/>
      <c r="B3" s="48">
        <v>1990</v>
      </c>
      <c r="C3" s="48">
        <v>2000</v>
      </c>
      <c r="D3" s="48">
        <v>2010</v>
      </c>
      <c r="E3" s="48">
        <v>2020</v>
      </c>
      <c r="F3" s="8">
        <v>2021</v>
      </c>
      <c r="G3" s="44">
        <v>2022</v>
      </c>
      <c r="H3" s="44">
        <v>2023</v>
      </c>
      <c r="I3" s="44">
        <v>2024</v>
      </c>
      <c r="J3" s="73">
        <v>2025</v>
      </c>
      <c r="K3" s="74">
        <v>2030</v>
      </c>
      <c r="L3" s="75">
        <v>2035</v>
      </c>
      <c r="M3" s="9">
        <v>2040</v>
      </c>
      <c r="N3" s="9">
        <v>2045</v>
      </c>
      <c r="O3" s="10">
        <v>2050</v>
      </c>
      <c r="P3" s="28" t="s">
        <v>74</v>
      </c>
      <c r="Q3" s="59" t="s">
        <v>77</v>
      </c>
      <c r="R3" s="48" t="s">
        <v>76</v>
      </c>
      <c r="S3" s="48" t="s">
        <v>75</v>
      </c>
      <c r="T3" s="18" t="s">
        <v>69</v>
      </c>
      <c r="U3" s="18" t="s">
        <v>70</v>
      </c>
      <c r="V3" s="18" t="s">
        <v>71</v>
      </c>
      <c r="W3" s="66" t="s">
        <v>77</v>
      </c>
      <c r="X3" s="67" t="s">
        <v>76</v>
      </c>
      <c r="Y3" s="67" t="s">
        <v>75</v>
      </c>
      <c r="Z3" s="16" t="s">
        <v>69</v>
      </c>
      <c r="AA3" s="16" t="s">
        <v>70</v>
      </c>
      <c r="AB3" s="16" t="s">
        <v>71</v>
      </c>
      <c r="AC3" s="17"/>
    </row>
    <row r="4" spans="1:29" x14ac:dyDescent="0.35">
      <c r="A4" s="23" t="s">
        <v>0</v>
      </c>
      <c r="B4" s="49">
        <v>4040587</v>
      </c>
      <c r="C4" s="50">
        <v>4447100</v>
      </c>
      <c r="D4" s="50">
        <v>4779736</v>
      </c>
      <c r="E4" s="51">
        <v>5024279</v>
      </c>
      <c r="F4" s="25">
        <f>SUM(F5:F71)</f>
        <v>5040020.4137719199</v>
      </c>
      <c r="G4" s="26">
        <f>SUM(G5:G71)</f>
        <v>5052177.8275438417</v>
      </c>
      <c r="H4" s="26">
        <f>SUM(H5:H71)</f>
        <v>5070995.2413157625</v>
      </c>
      <c r="I4" s="26">
        <f>SUM(I5:I71)</f>
        <v>5163056.7841999987</v>
      </c>
      <c r="J4" s="76">
        <f t="shared" ref="J4:L4" si="0">SUM(J5:J71)</f>
        <v>5193088</v>
      </c>
      <c r="K4" s="84">
        <f t="shared" si="0"/>
        <v>5365126.5418064157</v>
      </c>
      <c r="L4" s="76">
        <f t="shared" si="0"/>
        <v>5500129.0633949731</v>
      </c>
      <c r="M4" s="26">
        <v>5629457.4436398642</v>
      </c>
      <c r="N4" s="26">
        <v>5758417.9337116499</v>
      </c>
      <c r="O4" s="27">
        <v>5890544.1875562454</v>
      </c>
      <c r="P4" s="29"/>
      <c r="Q4" s="60">
        <f>C4-B4</f>
        <v>406513</v>
      </c>
      <c r="R4" s="61">
        <f>D4-C4</f>
        <v>332636</v>
      </c>
      <c r="S4" s="61">
        <f>E4-D4</f>
        <v>244543</v>
      </c>
      <c r="T4" s="21">
        <f>K4-E4</f>
        <v>340847.54180641565</v>
      </c>
      <c r="U4" s="21">
        <f t="shared" ref="U4:U35" si="1">M4-K4</f>
        <v>264330.90183344856</v>
      </c>
      <c r="V4" s="21">
        <f t="shared" ref="V4:V35" si="2">O4-M4</f>
        <v>261086.74391638115</v>
      </c>
      <c r="W4" s="83">
        <f>(C4-B4)/B4</f>
        <v>0.10060741174487767</v>
      </c>
      <c r="X4" s="68">
        <f>(D4-C4)/C4</f>
        <v>7.4798407951249132E-2</v>
      </c>
      <c r="Y4" s="68">
        <f>(E4-D4)/D4</f>
        <v>5.1162449139450381E-2</v>
      </c>
      <c r="Z4" s="22">
        <f>(K4-E4)/E4</f>
        <v>6.7840090450075649E-2</v>
      </c>
      <c r="AA4" s="22">
        <f t="shared" ref="AA4:AA35" si="3">(M4-K4)/K4</f>
        <v>4.9268344329572784E-2</v>
      </c>
      <c r="AB4" s="22">
        <f t="shared" ref="AB4:AB35" si="4">(O4-M4)/M4</f>
        <v>4.6378669086726249E-2</v>
      </c>
      <c r="AC4" s="32" t="s">
        <v>0</v>
      </c>
    </row>
    <row r="5" spans="1:29" x14ac:dyDescent="0.35">
      <c r="A5" s="11" t="s">
        <v>1</v>
      </c>
      <c r="B5" s="52">
        <v>34222</v>
      </c>
      <c r="C5" s="53">
        <v>43671</v>
      </c>
      <c r="D5" s="53">
        <v>54571</v>
      </c>
      <c r="E5" s="54">
        <v>58805</v>
      </c>
      <c r="F5" s="2">
        <v>59159.411411808345</v>
      </c>
      <c r="G5" s="1">
        <v>59445.822823616691</v>
      </c>
      <c r="H5" s="1">
        <v>59829.234235425036</v>
      </c>
      <c r="I5" s="1">
        <v>61476</v>
      </c>
      <c r="J5" s="77">
        <v>61920</v>
      </c>
      <c r="K5" s="78">
        <v>64905.20379457673</v>
      </c>
      <c r="L5" s="79">
        <v>67725.495239572701</v>
      </c>
      <c r="M5" s="43">
        <v>70309.154304184573</v>
      </c>
      <c r="N5" s="43">
        <v>72620.518548999913</v>
      </c>
      <c r="O5" s="19">
        <v>74773.436114512908</v>
      </c>
      <c r="P5" s="2"/>
      <c r="Q5" s="62">
        <f>C5-B5</f>
        <v>9449</v>
      </c>
      <c r="R5" s="63">
        <f>D5-C5</f>
        <v>10900</v>
      </c>
      <c r="S5" s="63">
        <f>E5-D5</f>
        <v>4234</v>
      </c>
      <c r="T5" s="13">
        <f>K5-E5</f>
        <v>6100.2037945767297</v>
      </c>
      <c r="U5" s="13">
        <f t="shared" si="1"/>
        <v>5403.9505096078428</v>
      </c>
      <c r="V5" s="13">
        <f t="shared" si="2"/>
        <v>4464.2818103283353</v>
      </c>
      <c r="W5" s="69">
        <f>(C5-B5)/B5</f>
        <v>0.27610893577231022</v>
      </c>
      <c r="X5" s="70">
        <f>(D5-C5)/C5</f>
        <v>0.24959355178493736</v>
      </c>
      <c r="Y5" s="70">
        <f>(E5-D5)/D5</f>
        <v>7.7586996756519033E-2</v>
      </c>
      <c r="Z5" s="6">
        <f>(K5-E5)/E5</f>
        <v>0.103736141392343</v>
      </c>
      <c r="AA5" s="6">
        <f t="shared" si="3"/>
        <v>8.3259125519599395E-2</v>
      </c>
      <c r="AB5" s="6">
        <f t="shared" si="4"/>
        <v>6.349502926765592E-2</v>
      </c>
      <c r="AC5" s="33" t="s">
        <v>1</v>
      </c>
    </row>
    <row r="6" spans="1:29" x14ac:dyDescent="0.35">
      <c r="A6" s="11" t="s">
        <v>2</v>
      </c>
      <c r="B6" s="52">
        <v>98280</v>
      </c>
      <c r="C6" s="53">
        <v>140415</v>
      </c>
      <c r="D6" s="53">
        <v>182265</v>
      </c>
      <c r="E6" s="55">
        <v>231767.00000000003</v>
      </c>
      <c r="F6" s="2">
        <v>237801.14730882589</v>
      </c>
      <c r="G6" s="1">
        <v>243652.29461765179</v>
      </c>
      <c r="H6" s="1">
        <v>249845.44192647768</v>
      </c>
      <c r="I6" s="1">
        <v>261652</v>
      </c>
      <c r="J6" s="77">
        <v>267761</v>
      </c>
      <c r="K6" s="78">
        <v>307443.08394838328</v>
      </c>
      <c r="L6" s="79">
        <v>339689.41728171671</v>
      </c>
      <c r="M6" s="43">
        <v>371935.75061505003</v>
      </c>
      <c r="N6" s="43">
        <v>404182.0839483834</v>
      </c>
      <c r="O6" s="19">
        <v>436428.4172817166</v>
      </c>
      <c r="P6" s="2"/>
      <c r="Q6" s="62">
        <f>C6-B6</f>
        <v>42135</v>
      </c>
      <c r="R6" s="63">
        <f>D6-C6</f>
        <v>41850</v>
      </c>
      <c r="S6" s="63">
        <f>E6-D6</f>
        <v>49502.000000000029</v>
      </c>
      <c r="T6" s="13">
        <f>K6-E6</f>
        <v>75676.083948383253</v>
      </c>
      <c r="U6" s="13">
        <f t="shared" si="1"/>
        <v>64492.666666666744</v>
      </c>
      <c r="V6" s="13">
        <f t="shared" si="2"/>
        <v>64492.66666666657</v>
      </c>
      <c r="W6" s="69">
        <f>(C6-B6)/B6</f>
        <v>0.4287240537240537</v>
      </c>
      <c r="X6" s="70">
        <f>(D6-C6)/C6</f>
        <v>0.29804508065377633</v>
      </c>
      <c r="Y6" s="70">
        <f>(E6-D6)/D6</f>
        <v>0.27159355882917746</v>
      </c>
      <c r="Z6" s="6">
        <f>(K6-E6)/E6</f>
        <v>0.32651794236618348</v>
      </c>
      <c r="AA6" s="6">
        <f t="shared" si="3"/>
        <v>0.20977107644904588</v>
      </c>
      <c r="AB6" s="6">
        <f t="shared" si="4"/>
        <v>0.1733973315552983</v>
      </c>
      <c r="AC6" s="33" t="s">
        <v>2</v>
      </c>
    </row>
    <row r="7" spans="1:29" x14ac:dyDescent="0.35">
      <c r="A7" s="11" t="s">
        <v>3</v>
      </c>
      <c r="B7" s="52">
        <v>25417</v>
      </c>
      <c r="C7" s="53">
        <v>29038</v>
      </c>
      <c r="D7" s="53">
        <v>27457</v>
      </c>
      <c r="E7" s="55">
        <v>25223</v>
      </c>
      <c r="F7" s="2">
        <v>24910.948027039958</v>
      </c>
      <c r="G7" s="1">
        <v>24600.896054079916</v>
      </c>
      <c r="H7" s="1">
        <v>24324.844081119874</v>
      </c>
      <c r="I7" s="1">
        <v>24520</v>
      </c>
      <c r="J7" s="77">
        <v>24607</v>
      </c>
      <c r="K7" s="78">
        <v>23798.22809770819</v>
      </c>
      <c r="L7" s="79">
        <v>22827.438446501124</v>
      </c>
      <c r="M7" s="43">
        <v>21739.070872135024</v>
      </c>
      <c r="N7" s="43">
        <v>20607.307679116195</v>
      </c>
      <c r="O7" s="19">
        <v>19495.091541750517</v>
      </c>
      <c r="P7" s="2"/>
      <c r="Q7" s="62">
        <f>C7-B7</f>
        <v>3621</v>
      </c>
      <c r="R7" s="63">
        <f>D7-C7</f>
        <v>-1581</v>
      </c>
      <c r="S7" s="63">
        <f>E7-D7</f>
        <v>-2234</v>
      </c>
      <c r="T7" s="13">
        <f>K7-E7</f>
        <v>-1424.77190229181</v>
      </c>
      <c r="U7" s="13">
        <f t="shared" si="1"/>
        <v>-2059.1572255731662</v>
      </c>
      <c r="V7" s="13">
        <f t="shared" si="2"/>
        <v>-2243.9793303845072</v>
      </c>
      <c r="W7" s="69">
        <f>(C7-B7)/B7</f>
        <v>0.14246370539402761</v>
      </c>
      <c r="X7" s="70">
        <f>(D7-C7)/C7</f>
        <v>-5.4445898477856601E-2</v>
      </c>
      <c r="Y7" s="70">
        <f>(E7-D7)/D7</f>
        <v>-8.1363586699202392E-2</v>
      </c>
      <c r="Z7" s="6">
        <f>(K7-E7)/E7</f>
        <v>-5.6487011945121908E-2</v>
      </c>
      <c r="AA7" s="6">
        <f t="shared" si="3"/>
        <v>-8.6525652965376301E-2</v>
      </c>
      <c r="AB7" s="6">
        <f t="shared" si="4"/>
        <v>-0.10322333201741492</v>
      </c>
      <c r="AC7" s="33" t="s">
        <v>3</v>
      </c>
    </row>
    <row r="8" spans="1:29" x14ac:dyDescent="0.35">
      <c r="A8" s="11" t="s">
        <v>4</v>
      </c>
      <c r="B8" s="52">
        <v>16576</v>
      </c>
      <c r="C8" s="53">
        <v>20826</v>
      </c>
      <c r="D8" s="53">
        <v>22915</v>
      </c>
      <c r="E8" s="55">
        <v>22293</v>
      </c>
      <c r="F8" s="2">
        <v>22181.551818084608</v>
      </c>
      <c r="G8" s="1">
        <v>22003.103636169217</v>
      </c>
      <c r="H8" s="1">
        <v>21908.655454253825</v>
      </c>
      <c r="I8" s="1">
        <v>22229.445000000003</v>
      </c>
      <c r="J8" s="77">
        <v>22262</v>
      </c>
      <c r="K8" s="78">
        <v>22161</v>
      </c>
      <c r="L8" s="79">
        <v>21982.20937925097</v>
      </c>
      <c r="M8" s="43">
        <v>21725.715585849561</v>
      </c>
      <c r="N8" s="43">
        <v>21398.644397618984</v>
      </c>
      <c r="O8" s="19">
        <v>21044.681085483939</v>
      </c>
      <c r="P8" s="2"/>
      <c r="Q8" s="62">
        <f>C8-B8</f>
        <v>4250</v>
      </c>
      <c r="R8" s="63">
        <f>D8-C8</f>
        <v>2089</v>
      </c>
      <c r="S8" s="63">
        <f>E8-D8</f>
        <v>-622</v>
      </c>
      <c r="T8" s="13">
        <f>K8-E8</f>
        <v>-132</v>
      </c>
      <c r="U8" s="13">
        <f t="shared" si="1"/>
        <v>-435.28441415043926</v>
      </c>
      <c r="V8" s="13">
        <f t="shared" si="2"/>
        <v>-681.03450036562208</v>
      </c>
      <c r="W8" s="69">
        <f>(C8-B8)/B8</f>
        <v>0.25639478764478763</v>
      </c>
      <c r="X8" s="70">
        <f>(D8-C8)/C8</f>
        <v>0.10030730817247671</v>
      </c>
      <c r="Y8" s="70">
        <f>(E8-D8)/D8</f>
        <v>-2.7143792275801878E-2</v>
      </c>
      <c r="Z8" s="6">
        <f>(K8-E8)/E8</f>
        <v>-5.9211411653882383E-3</v>
      </c>
      <c r="AA8" s="6">
        <f t="shared" si="3"/>
        <v>-1.9641912104617989E-2</v>
      </c>
      <c r="AB8" s="6">
        <f t="shared" si="4"/>
        <v>-3.1346930676437415E-2</v>
      </c>
      <c r="AC8" s="33" t="s">
        <v>4</v>
      </c>
    </row>
    <row r="9" spans="1:29" x14ac:dyDescent="0.35">
      <c r="A9" s="11" t="s">
        <v>5</v>
      </c>
      <c r="B9" s="52">
        <v>39248</v>
      </c>
      <c r="C9" s="53">
        <v>51024</v>
      </c>
      <c r="D9" s="53">
        <v>57322</v>
      </c>
      <c r="E9" s="55">
        <v>59134</v>
      </c>
      <c r="F9" s="2">
        <v>59113.835558605359</v>
      </c>
      <c r="G9" s="1">
        <v>59147.671117210717</v>
      </c>
      <c r="H9" s="1">
        <v>59194.506675816076</v>
      </c>
      <c r="I9" s="1">
        <v>60173</v>
      </c>
      <c r="J9" s="77">
        <v>60156</v>
      </c>
      <c r="K9" s="78">
        <v>61071.8362945306</v>
      </c>
      <c r="L9" s="79">
        <v>61888.262771011716</v>
      </c>
      <c r="M9" s="43">
        <v>62689.720774509791</v>
      </c>
      <c r="N9" s="43">
        <v>63437.641322037467</v>
      </c>
      <c r="O9" s="19">
        <v>64151.036122589285</v>
      </c>
      <c r="P9" s="2"/>
      <c r="Q9" s="62">
        <f>C9-B9</f>
        <v>11776</v>
      </c>
      <c r="R9" s="63">
        <f>D9-C9</f>
        <v>6298</v>
      </c>
      <c r="S9" s="63">
        <f>E9-D9</f>
        <v>1812</v>
      </c>
      <c r="T9" s="13">
        <f>K9-E9</f>
        <v>1937.8362945305998</v>
      </c>
      <c r="U9" s="13">
        <f t="shared" si="1"/>
        <v>1617.8844799791914</v>
      </c>
      <c r="V9" s="13">
        <f t="shared" si="2"/>
        <v>1461.3153480794936</v>
      </c>
      <c r="W9" s="69">
        <f>(C9-B9)/B9</f>
        <v>0.30004076640847943</v>
      </c>
      <c r="X9" s="70">
        <f>(D9-C9)/C9</f>
        <v>0.12343211037942929</v>
      </c>
      <c r="Y9" s="70">
        <f>(E9-D9)/D9</f>
        <v>3.161089982903597E-2</v>
      </c>
      <c r="Z9" s="6">
        <f>(K9-E9)/E9</f>
        <v>3.2770255597974092E-2</v>
      </c>
      <c r="AA9" s="6">
        <f t="shared" si="3"/>
        <v>2.6491498833875478E-2</v>
      </c>
      <c r="AB9" s="6">
        <f t="shared" si="4"/>
        <v>2.3310286439713696E-2</v>
      </c>
      <c r="AC9" s="33" t="s">
        <v>5</v>
      </c>
    </row>
    <row r="10" spans="1:29" x14ac:dyDescent="0.35">
      <c r="A10" s="11" t="s">
        <v>6</v>
      </c>
      <c r="B10" s="52">
        <v>11042</v>
      </c>
      <c r="C10" s="53">
        <v>11714</v>
      </c>
      <c r="D10" s="53">
        <v>10914</v>
      </c>
      <c r="E10" s="54">
        <v>10357.000000000002</v>
      </c>
      <c r="F10" s="2">
        <v>10248.538170940434</v>
      </c>
      <c r="G10" s="1">
        <v>10140.076341880867</v>
      </c>
      <c r="H10" s="1">
        <v>10038.614512821301</v>
      </c>
      <c r="I10" s="1">
        <v>9863</v>
      </c>
      <c r="J10" s="77">
        <v>9780</v>
      </c>
      <c r="K10" s="78">
        <v>9218.3399039263095</v>
      </c>
      <c r="L10" s="79">
        <v>8649.9887177821056</v>
      </c>
      <c r="M10" s="43">
        <v>8071.0495990126301</v>
      </c>
      <c r="N10" s="43">
        <v>7513.9368494346454</v>
      </c>
      <c r="O10" s="19">
        <v>7006.0839544369765</v>
      </c>
      <c r="P10" s="2"/>
      <c r="Q10" s="62">
        <f>C10-B10</f>
        <v>672</v>
      </c>
      <c r="R10" s="63">
        <f>D10-C10</f>
        <v>-800</v>
      </c>
      <c r="S10" s="63">
        <f>E10-D10</f>
        <v>-556.99999999999818</v>
      </c>
      <c r="T10" s="13">
        <f>K10-E10</f>
        <v>-1138.6600960736923</v>
      </c>
      <c r="U10" s="13">
        <f t="shared" si="1"/>
        <v>-1147.2903049136794</v>
      </c>
      <c r="V10" s="13">
        <f t="shared" si="2"/>
        <v>-1064.9656445756536</v>
      </c>
      <c r="W10" s="69">
        <f>(C10-B10)/B10</f>
        <v>6.0858540119543558E-2</v>
      </c>
      <c r="X10" s="70">
        <f>(D10-C10)/C10</f>
        <v>-6.8294348642649827E-2</v>
      </c>
      <c r="Y10" s="70">
        <f>(E10-D10)/D10</f>
        <v>-5.1035367417995067E-2</v>
      </c>
      <c r="Z10" s="6">
        <f>(K10-E10)/E10</f>
        <v>-0.109941111912107</v>
      </c>
      <c r="AA10" s="6">
        <f t="shared" si="3"/>
        <v>-0.12445736617121497</v>
      </c>
      <c r="AB10" s="6">
        <f t="shared" si="4"/>
        <v>-0.13194884153678549</v>
      </c>
      <c r="AC10" s="33" t="s">
        <v>6</v>
      </c>
    </row>
    <row r="11" spans="1:29" x14ac:dyDescent="0.35">
      <c r="A11" s="11" t="s">
        <v>7</v>
      </c>
      <c r="B11" s="52">
        <v>21892</v>
      </c>
      <c r="C11" s="53">
        <v>21399</v>
      </c>
      <c r="D11" s="53">
        <v>20947</v>
      </c>
      <c r="E11" s="55">
        <v>19051</v>
      </c>
      <c r="F11" s="2">
        <v>18815.26909800055</v>
      </c>
      <c r="G11" s="1">
        <v>18575.5381960011</v>
      </c>
      <c r="H11" s="1">
        <v>18323.80729400165</v>
      </c>
      <c r="I11" s="1">
        <v>18276</v>
      </c>
      <c r="J11" s="77">
        <v>18100</v>
      </c>
      <c r="K11" s="78">
        <v>17105.100107121656</v>
      </c>
      <c r="L11" s="79">
        <v>16044.530754727843</v>
      </c>
      <c r="M11" s="43">
        <v>14952.794059291531</v>
      </c>
      <c r="N11" s="43">
        <v>13886.090278619402</v>
      </c>
      <c r="O11" s="19">
        <v>12886.473341283845</v>
      </c>
      <c r="P11" s="2"/>
      <c r="Q11" s="62">
        <f>C11-B11</f>
        <v>-493</v>
      </c>
      <c r="R11" s="63">
        <f>D11-C11</f>
        <v>-452</v>
      </c>
      <c r="S11" s="63">
        <f>E11-D11</f>
        <v>-1896</v>
      </c>
      <c r="T11" s="13">
        <f>K11-E11</f>
        <v>-1945.899892878344</v>
      </c>
      <c r="U11" s="13">
        <f t="shared" si="1"/>
        <v>-2152.306047830125</v>
      </c>
      <c r="V11" s="13">
        <f t="shared" si="2"/>
        <v>-2066.3207180076861</v>
      </c>
      <c r="W11" s="69">
        <f>(C11-B11)/B11</f>
        <v>-2.2519641878311712E-2</v>
      </c>
      <c r="X11" s="70">
        <f>(D11-C11)/C11</f>
        <v>-2.1122482358988739E-2</v>
      </c>
      <c r="Y11" s="70">
        <f>(E11-D11)/D11</f>
        <v>-9.0514154771566338E-2</v>
      </c>
      <c r="Z11" s="6">
        <f>(K11-E11)/E11</f>
        <v>-0.10214161423958554</v>
      </c>
      <c r="AA11" s="6">
        <f t="shared" si="3"/>
        <v>-0.12582832221683513</v>
      </c>
      <c r="AB11" s="6">
        <f t="shared" si="4"/>
        <v>-0.13818960588999038</v>
      </c>
      <c r="AC11" s="33" t="s">
        <v>7</v>
      </c>
    </row>
    <row r="12" spans="1:29" x14ac:dyDescent="0.35">
      <c r="A12" s="11" t="s">
        <v>8</v>
      </c>
      <c r="B12" s="52">
        <v>116034</v>
      </c>
      <c r="C12" s="53">
        <v>112249</v>
      </c>
      <c r="D12" s="53">
        <v>118572</v>
      </c>
      <c r="E12" s="55">
        <v>116441</v>
      </c>
      <c r="F12" s="2">
        <v>115861.85249435957</v>
      </c>
      <c r="G12" s="1">
        <v>115267.70498871914</v>
      </c>
      <c r="H12" s="1">
        <v>114818.55748307871</v>
      </c>
      <c r="I12" s="1">
        <v>116303</v>
      </c>
      <c r="J12" s="77">
        <v>115834</v>
      </c>
      <c r="K12" s="78">
        <v>114771.86897600215</v>
      </c>
      <c r="L12" s="79">
        <v>113613.6135566351</v>
      </c>
      <c r="M12" s="43">
        <v>112360.34770498962</v>
      </c>
      <c r="N12" s="43">
        <v>110999.80248141731</v>
      </c>
      <c r="O12" s="19">
        <v>109841.00472850843</v>
      </c>
      <c r="P12" s="2"/>
      <c r="Q12" s="62">
        <f>C12-B12</f>
        <v>-3785</v>
      </c>
      <c r="R12" s="63">
        <f>D12-C12</f>
        <v>6323</v>
      </c>
      <c r="S12" s="63">
        <f>E12-D12</f>
        <v>-2131</v>
      </c>
      <c r="T12" s="13">
        <f>K12-E12</f>
        <v>-1669.1310239978484</v>
      </c>
      <c r="U12" s="13">
        <f t="shared" si="1"/>
        <v>-2411.5212710125343</v>
      </c>
      <c r="V12" s="13">
        <f t="shared" si="2"/>
        <v>-2519.3429764811881</v>
      </c>
      <c r="W12" s="69">
        <f>(C12-B12)/B12</f>
        <v>-3.26197493838013E-2</v>
      </c>
      <c r="X12" s="70">
        <f>(D12-C12)/C12</f>
        <v>5.6330123208224572E-2</v>
      </c>
      <c r="Y12" s="70">
        <f>(E12-D12)/D12</f>
        <v>-1.7972202543602201E-2</v>
      </c>
      <c r="Z12" s="6">
        <f>(K12-E12)/E12</f>
        <v>-1.4334564491870119E-2</v>
      </c>
      <c r="AA12" s="6">
        <f t="shared" si="3"/>
        <v>-2.1011431568799872E-2</v>
      </c>
      <c r="AB12" s="6">
        <f t="shared" si="4"/>
        <v>-2.2421993416181916E-2</v>
      </c>
      <c r="AC12" s="33" t="s">
        <v>8</v>
      </c>
    </row>
    <row r="13" spans="1:29" x14ac:dyDescent="0.35">
      <c r="A13" s="11" t="s">
        <v>9</v>
      </c>
      <c r="B13" s="52">
        <v>36876</v>
      </c>
      <c r="C13" s="53">
        <v>36583</v>
      </c>
      <c r="D13" s="53">
        <v>34215</v>
      </c>
      <c r="E13" s="54">
        <v>34772</v>
      </c>
      <c r="F13" s="2">
        <v>34700.718017194013</v>
      </c>
      <c r="G13" s="1">
        <v>34667.436034388025</v>
      </c>
      <c r="H13" s="1">
        <v>34711.154051582038</v>
      </c>
      <c r="I13" s="1">
        <v>34309</v>
      </c>
      <c r="J13" s="77">
        <v>34253</v>
      </c>
      <c r="K13" s="78">
        <v>33555.109289046457</v>
      </c>
      <c r="L13" s="79">
        <v>32680.50962295162</v>
      </c>
      <c r="M13" s="43">
        <v>31725.773156965701</v>
      </c>
      <c r="N13" s="43">
        <v>30745.617935357597</v>
      </c>
      <c r="O13" s="19">
        <v>29849.517915166274</v>
      </c>
      <c r="P13" s="2"/>
      <c r="Q13" s="62">
        <f>C13-B13</f>
        <v>-293</v>
      </c>
      <c r="R13" s="63">
        <f>D13-C13</f>
        <v>-2368</v>
      </c>
      <c r="S13" s="63">
        <f>E13-D13</f>
        <v>557</v>
      </c>
      <c r="T13" s="13">
        <f>K13-E13</f>
        <v>-1216.890710953543</v>
      </c>
      <c r="U13" s="13">
        <f t="shared" si="1"/>
        <v>-1829.3361320807562</v>
      </c>
      <c r="V13" s="13">
        <f t="shared" si="2"/>
        <v>-1876.2552417994266</v>
      </c>
      <c r="W13" s="69">
        <f>(C13-B13)/B13</f>
        <v>-7.9455472393968971E-3</v>
      </c>
      <c r="X13" s="70">
        <f>(D13-C13)/C13</f>
        <v>-6.4729519175573361E-2</v>
      </c>
      <c r="Y13" s="70">
        <f>(E13-D13)/D13</f>
        <v>1.6279409615665645E-2</v>
      </c>
      <c r="Z13" s="6">
        <f>(K13-E13)/E13</f>
        <v>-3.499628180586515E-2</v>
      </c>
      <c r="AA13" s="6">
        <f t="shared" si="3"/>
        <v>-5.451736474236174E-2</v>
      </c>
      <c r="AB13" s="6">
        <f t="shared" si="4"/>
        <v>-5.9139779904385924E-2</v>
      </c>
      <c r="AC13" s="33" t="s">
        <v>9</v>
      </c>
    </row>
    <row r="14" spans="1:29" x14ac:dyDescent="0.35">
      <c r="A14" s="11" t="s">
        <v>10</v>
      </c>
      <c r="B14" s="52">
        <v>19543</v>
      </c>
      <c r="C14" s="53">
        <v>23988</v>
      </c>
      <c r="D14" s="53">
        <v>25989</v>
      </c>
      <c r="E14" s="55">
        <v>24971</v>
      </c>
      <c r="F14" s="2">
        <v>24799.742231086315</v>
      </c>
      <c r="G14" s="1">
        <v>24644.48446217263</v>
      </c>
      <c r="H14" s="1">
        <v>24512.226693258945</v>
      </c>
      <c r="I14" s="1">
        <v>26088</v>
      </c>
      <c r="J14" s="77">
        <v>26413</v>
      </c>
      <c r="K14" s="78">
        <v>27736.212463393629</v>
      </c>
      <c r="L14" s="79">
        <v>28527.879130060297</v>
      </c>
      <c r="M14" s="43">
        <v>29319.545796726961</v>
      </c>
      <c r="N14" s="43">
        <v>30111.212463393633</v>
      </c>
      <c r="O14" s="19">
        <v>30902.879130060301</v>
      </c>
      <c r="P14" s="2"/>
      <c r="Q14" s="62">
        <f>C14-B14</f>
        <v>4445</v>
      </c>
      <c r="R14" s="63">
        <f>D14-C14</f>
        <v>2001</v>
      </c>
      <c r="S14" s="63">
        <f>E14-D14</f>
        <v>-1018</v>
      </c>
      <c r="T14" s="13">
        <f>K14-E14</f>
        <v>2765.2124633936292</v>
      </c>
      <c r="U14" s="13">
        <f t="shared" si="1"/>
        <v>1583.3333333333321</v>
      </c>
      <c r="V14" s="13">
        <f t="shared" si="2"/>
        <v>1583.3333333333394</v>
      </c>
      <c r="W14" s="69">
        <f>(C14-B14)/B14</f>
        <v>0.22744716778386123</v>
      </c>
      <c r="X14" s="70">
        <f>(D14-C14)/C14</f>
        <v>8.3416708354177083E-2</v>
      </c>
      <c r="Y14" s="70">
        <f>(E14-D14)/D14</f>
        <v>-3.917041825387664E-2</v>
      </c>
      <c r="Z14" s="6">
        <f>(K14-E14)/E14</f>
        <v>0.11073695340169112</v>
      </c>
      <c r="AA14" s="6">
        <f t="shared" si="3"/>
        <v>5.7085419843211187E-2</v>
      </c>
      <c r="AB14" s="6">
        <f t="shared" si="4"/>
        <v>5.4002655576952774E-2</v>
      </c>
      <c r="AC14" s="33" t="s">
        <v>10</v>
      </c>
    </row>
    <row r="15" spans="1:29" x14ac:dyDescent="0.35">
      <c r="A15" s="11" t="s">
        <v>11</v>
      </c>
      <c r="B15" s="52">
        <v>32458</v>
      </c>
      <c r="C15" s="53">
        <v>39593</v>
      </c>
      <c r="D15" s="53">
        <v>43643</v>
      </c>
      <c r="E15" s="55">
        <v>45014</v>
      </c>
      <c r="F15" s="2">
        <v>45048.006306732379</v>
      </c>
      <c r="G15" s="1">
        <v>45015.012613464758</v>
      </c>
      <c r="H15" s="1">
        <v>45056.018920197137</v>
      </c>
      <c r="I15" s="1">
        <v>47364</v>
      </c>
      <c r="J15" s="77">
        <v>47708</v>
      </c>
      <c r="K15" s="78">
        <v>50632.687919993899</v>
      </c>
      <c r="L15" s="79">
        <v>52657.187919993885</v>
      </c>
      <c r="M15" s="43">
        <v>54681.687919993899</v>
      </c>
      <c r="N15" s="43">
        <v>56706.187919993899</v>
      </c>
      <c r="O15" s="19">
        <v>58730.687919993885</v>
      </c>
      <c r="P15" s="2"/>
      <c r="Q15" s="62">
        <f>C15-B15</f>
        <v>7135</v>
      </c>
      <c r="R15" s="63">
        <f>D15-C15</f>
        <v>4050</v>
      </c>
      <c r="S15" s="63">
        <f>E15-D15</f>
        <v>1371</v>
      </c>
      <c r="T15" s="13">
        <f>K15-E15</f>
        <v>5618.6879199938994</v>
      </c>
      <c r="U15" s="13">
        <f t="shared" si="1"/>
        <v>4049</v>
      </c>
      <c r="V15" s="13">
        <f t="shared" si="2"/>
        <v>4048.9999999999854</v>
      </c>
      <c r="W15" s="69">
        <f>(C15-B15)/B15</f>
        <v>0.21982253989771397</v>
      </c>
      <c r="X15" s="70">
        <f>(D15-C15)/C15</f>
        <v>0.10229080898138559</v>
      </c>
      <c r="Y15" s="70">
        <f>(E15-D15)/D15</f>
        <v>3.141397245835529E-2</v>
      </c>
      <c r="Z15" s="6">
        <f>(K15-E15)/E15</f>
        <v>0.12482089838703291</v>
      </c>
      <c r="AA15" s="6">
        <f t="shared" si="3"/>
        <v>7.9968102945629435E-2</v>
      </c>
      <c r="AB15" s="6">
        <f t="shared" si="4"/>
        <v>7.404672668342234E-2</v>
      </c>
      <c r="AC15" s="33" t="s">
        <v>11</v>
      </c>
    </row>
    <row r="16" spans="1:29" x14ac:dyDescent="0.35">
      <c r="A16" s="11" t="s">
        <v>12</v>
      </c>
      <c r="B16" s="52">
        <v>16018</v>
      </c>
      <c r="C16" s="53">
        <v>15922</v>
      </c>
      <c r="D16" s="53">
        <v>13859</v>
      </c>
      <c r="E16" s="55">
        <v>12665</v>
      </c>
      <c r="F16" s="2">
        <v>12547.730204840476</v>
      </c>
      <c r="G16" s="1">
        <v>12398.460409680953</v>
      </c>
      <c r="H16" s="1">
        <v>12249.190614521429</v>
      </c>
      <c r="I16" s="1">
        <v>12090</v>
      </c>
      <c r="J16" s="77">
        <v>11904</v>
      </c>
      <c r="K16" s="78">
        <v>11104.528100226835</v>
      </c>
      <c r="L16" s="79">
        <v>10274.645109631643</v>
      </c>
      <c r="M16" s="43">
        <v>9445.3448863226422</v>
      </c>
      <c r="N16" s="43">
        <v>8634.7579572926588</v>
      </c>
      <c r="O16" s="19">
        <v>7868.6786507281931</v>
      </c>
      <c r="P16" s="2"/>
      <c r="Q16" s="62">
        <f>C16-B16</f>
        <v>-96</v>
      </c>
      <c r="R16" s="63">
        <f>D16-C16</f>
        <v>-2063</v>
      </c>
      <c r="S16" s="63">
        <f>E16-D16</f>
        <v>-1194</v>
      </c>
      <c r="T16" s="13">
        <f>K16-E16</f>
        <v>-1560.4718997731652</v>
      </c>
      <c r="U16" s="13">
        <f t="shared" si="1"/>
        <v>-1659.1832139041926</v>
      </c>
      <c r="V16" s="13">
        <f t="shared" si="2"/>
        <v>-1576.6662355944491</v>
      </c>
      <c r="W16" s="69">
        <f>(C16-B16)/B16</f>
        <v>-5.9932575852166313E-3</v>
      </c>
      <c r="X16" s="70">
        <f>(D16-C16)/C16</f>
        <v>-0.12956914960432106</v>
      </c>
      <c r="Y16" s="70">
        <f>(E16-D16)/D16</f>
        <v>-8.6153402121365172E-2</v>
      </c>
      <c r="Z16" s="6">
        <f>(K16-E16)/E16</f>
        <v>-0.12321136200340822</v>
      </c>
      <c r="AA16" s="6">
        <f t="shared" si="3"/>
        <v>-0.14941501331067819</v>
      </c>
      <c r="AB16" s="6">
        <f t="shared" si="4"/>
        <v>-0.16692521602652594</v>
      </c>
      <c r="AC16" s="33" t="s">
        <v>12</v>
      </c>
    </row>
    <row r="17" spans="1:29" x14ac:dyDescent="0.35">
      <c r="A17" s="11" t="s">
        <v>13</v>
      </c>
      <c r="B17" s="52">
        <v>27240</v>
      </c>
      <c r="C17" s="53">
        <v>27867</v>
      </c>
      <c r="D17" s="53">
        <v>25833</v>
      </c>
      <c r="E17" s="55">
        <v>23087</v>
      </c>
      <c r="F17" s="2">
        <v>22710.79549336878</v>
      </c>
      <c r="G17" s="1">
        <v>22373.590986737559</v>
      </c>
      <c r="H17" s="1">
        <v>22063.386480106339</v>
      </c>
      <c r="I17" s="1">
        <v>22127</v>
      </c>
      <c r="J17" s="77">
        <v>22014</v>
      </c>
      <c r="K17" s="78">
        <v>20957.455137744706</v>
      </c>
      <c r="L17" s="79">
        <v>19919.28160402795</v>
      </c>
      <c r="M17" s="43">
        <v>18892.762446408884</v>
      </c>
      <c r="N17" s="43">
        <v>17910.224218478415</v>
      </c>
      <c r="O17" s="19">
        <v>17021.532803744729</v>
      </c>
      <c r="P17" s="2"/>
      <c r="Q17" s="62">
        <f>C17-B17</f>
        <v>627</v>
      </c>
      <c r="R17" s="63">
        <f>D17-C17</f>
        <v>-2034</v>
      </c>
      <c r="S17" s="63">
        <f>E17-D17</f>
        <v>-2746</v>
      </c>
      <c r="T17" s="13">
        <f>K17-E17</f>
        <v>-2129.544862255294</v>
      </c>
      <c r="U17" s="13">
        <f t="shared" si="1"/>
        <v>-2064.692691335822</v>
      </c>
      <c r="V17" s="13">
        <f t="shared" si="2"/>
        <v>-1871.2296426641551</v>
      </c>
      <c r="W17" s="69">
        <f>(C17-B17)/B17</f>
        <v>2.3017621145374451E-2</v>
      </c>
      <c r="X17" s="70">
        <f>(D17-C17)/C17</f>
        <v>-7.2989557541177738E-2</v>
      </c>
      <c r="Y17" s="70">
        <f>(E17-D17)/D17</f>
        <v>-0.10629814578252622</v>
      </c>
      <c r="Z17" s="6">
        <f>(K17-E17)/E17</f>
        <v>-9.2239999231398362E-2</v>
      </c>
      <c r="AA17" s="6">
        <f t="shared" si="3"/>
        <v>-9.8518292310084826E-2</v>
      </c>
      <c r="AB17" s="6">
        <f t="shared" si="4"/>
        <v>-9.9044787546134438E-2</v>
      </c>
      <c r="AC17" s="33" t="s">
        <v>13</v>
      </c>
    </row>
    <row r="18" spans="1:29" x14ac:dyDescent="0.35">
      <c r="A18" s="11" t="s">
        <v>14</v>
      </c>
      <c r="B18" s="52">
        <v>13252</v>
      </c>
      <c r="C18" s="53">
        <v>14254</v>
      </c>
      <c r="D18" s="53">
        <v>13932</v>
      </c>
      <c r="E18" s="55">
        <v>14236</v>
      </c>
      <c r="F18" s="2">
        <v>14226.843858996324</v>
      </c>
      <c r="G18" s="1">
        <v>14221.687717992649</v>
      </c>
      <c r="H18" s="1">
        <v>14251.531576988973</v>
      </c>
      <c r="I18" s="1">
        <v>14212</v>
      </c>
      <c r="J18" s="77">
        <v>14207</v>
      </c>
      <c r="K18" s="78">
        <v>14079.376023627068</v>
      </c>
      <c r="L18" s="79">
        <v>13872.744664281236</v>
      </c>
      <c r="M18" s="43">
        <v>13645.981328984901</v>
      </c>
      <c r="N18" s="43">
        <v>13345.813540149868</v>
      </c>
      <c r="O18" s="19">
        <v>13047.966137872772</v>
      </c>
      <c r="P18" s="2"/>
      <c r="Q18" s="62">
        <f>C18-B18</f>
        <v>1002</v>
      </c>
      <c r="R18" s="63">
        <f>D18-C18</f>
        <v>-322</v>
      </c>
      <c r="S18" s="63">
        <f>E18-D18</f>
        <v>304</v>
      </c>
      <c r="T18" s="13">
        <f>K18-E18</f>
        <v>-156.62397637293179</v>
      </c>
      <c r="U18" s="13">
        <f t="shared" si="1"/>
        <v>-433.39469464216745</v>
      </c>
      <c r="V18" s="13">
        <f t="shared" si="2"/>
        <v>-598.01519111212838</v>
      </c>
      <c r="W18" s="69">
        <f>(C18-B18)/B18</f>
        <v>7.5611228493812258E-2</v>
      </c>
      <c r="X18" s="70">
        <f>(D18-C18)/C18</f>
        <v>-2.2590150133295916E-2</v>
      </c>
      <c r="Y18" s="70">
        <f>(E18-D18)/D18</f>
        <v>2.1820269882285387E-2</v>
      </c>
      <c r="Z18" s="6">
        <f>(K18-E18)/E18</f>
        <v>-1.1001965184948847E-2</v>
      </c>
      <c r="AA18" s="6">
        <f t="shared" si="3"/>
        <v>-3.0782237360155267E-2</v>
      </c>
      <c r="AB18" s="6">
        <f t="shared" si="4"/>
        <v>-4.3823538717725451E-2</v>
      </c>
      <c r="AC18" s="33" t="s">
        <v>14</v>
      </c>
    </row>
    <row r="19" spans="1:29" x14ac:dyDescent="0.35">
      <c r="A19" s="11" t="s">
        <v>15</v>
      </c>
      <c r="B19" s="52">
        <v>12730</v>
      </c>
      <c r="C19" s="53">
        <v>14123</v>
      </c>
      <c r="D19" s="53">
        <v>14972</v>
      </c>
      <c r="E19" s="55">
        <v>15056</v>
      </c>
      <c r="F19" s="2">
        <v>15020.996743105004</v>
      </c>
      <c r="G19" s="1">
        <v>14973.993486210009</v>
      </c>
      <c r="H19" s="1">
        <v>14980.990229315013</v>
      </c>
      <c r="I19" s="1">
        <v>15838</v>
      </c>
      <c r="J19" s="77">
        <v>15970</v>
      </c>
      <c r="K19" s="78">
        <v>16978.724566124805</v>
      </c>
      <c r="L19" s="79">
        <v>17602.057899458137</v>
      </c>
      <c r="M19" s="43">
        <v>18225.391232791473</v>
      </c>
      <c r="N19" s="43">
        <v>18848.724566124816</v>
      </c>
      <c r="O19" s="19">
        <v>19472.057899458145</v>
      </c>
      <c r="P19" s="2"/>
      <c r="Q19" s="62">
        <f>C19-B19</f>
        <v>1393</v>
      </c>
      <c r="R19" s="63">
        <f>D19-C19</f>
        <v>849</v>
      </c>
      <c r="S19" s="63">
        <f>E19-D19</f>
        <v>84</v>
      </c>
      <c r="T19" s="13">
        <f>K19-E19</f>
        <v>1922.7245661248053</v>
      </c>
      <c r="U19" s="13">
        <f t="shared" si="1"/>
        <v>1246.6666666666679</v>
      </c>
      <c r="V19" s="13">
        <f t="shared" si="2"/>
        <v>1246.6666666666715</v>
      </c>
      <c r="W19" s="69">
        <f>(C19-B19)/B19</f>
        <v>0.10942655145326001</v>
      </c>
      <c r="X19" s="70">
        <f>(D19-C19)/C19</f>
        <v>6.0114706507116054E-2</v>
      </c>
      <c r="Y19" s="70">
        <f>(E19-D19)/D19</f>
        <v>5.6104728827143999E-3</v>
      </c>
      <c r="Z19" s="6">
        <f>(K19-E19)/E19</f>
        <v>0.1277048728828909</v>
      </c>
      <c r="AA19" s="6">
        <f t="shared" si="3"/>
        <v>7.3425224716464371E-2</v>
      </c>
      <c r="AB19" s="6">
        <f t="shared" si="4"/>
        <v>6.8402738286552939E-2</v>
      </c>
      <c r="AC19" s="33" t="s">
        <v>15</v>
      </c>
    </row>
    <row r="20" spans="1:29" x14ac:dyDescent="0.35">
      <c r="A20" s="11" t="s">
        <v>16</v>
      </c>
      <c r="B20" s="52">
        <v>40240</v>
      </c>
      <c r="C20" s="53">
        <v>43615</v>
      </c>
      <c r="D20" s="53">
        <v>49948</v>
      </c>
      <c r="E20" s="55">
        <v>53465</v>
      </c>
      <c r="F20" s="2">
        <v>53760.707411347204</v>
      </c>
      <c r="G20" s="1">
        <v>53988.414822694409</v>
      </c>
      <c r="H20" s="1">
        <v>54343.122234041613</v>
      </c>
      <c r="I20" s="1">
        <v>56482</v>
      </c>
      <c r="J20" s="77">
        <v>56953</v>
      </c>
      <c r="K20" s="78">
        <v>60462.572690815876</v>
      </c>
      <c r="L20" s="79">
        <v>63912.317105695256</v>
      </c>
      <c r="M20" s="43">
        <v>67484.327135529966</v>
      </c>
      <c r="N20" s="43">
        <v>71252.795151612372</v>
      </c>
      <c r="O20" s="19">
        <v>75285.06150323835</v>
      </c>
      <c r="P20" s="2"/>
      <c r="Q20" s="62">
        <f>C20-B20</f>
        <v>3375</v>
      </c>
      <c r="R20" s="63">
        <f>D20-C20</f>
        <v>6333</v>
      </c>
      <c r="S20" s="63">
        <f>E20-D20</f>
        <v>3517</v>
      </c>
      <c r="T20" s="13">
        <f>K20-E20</f>
        <v>6997.5726908158758</v>
      </c>
      <c r="U20" s="13">
        <f t="shared" si="1"/>
        <v>7021.7544447140899</v>
      </c>
      <c r="V20" s="13">
        <f t="shared" si="2"/>
        <v>7800.7343677083845</v>
      </c>
      <c r="W20" s="69">
        <f>(C20-B20)/B20</f>
        <v>8.3871769383697808E-2</v>
      </c>
      <c r="X20" s="70">
        <f>(D20-C20)/C20</f>
        <v>0.1452023386449616</v>
      </c>
      <c r="Y20" s="70">
        <f>(E20-D20)/D20</f>
        <v>7.0413229758949314E-2</v>
      </c>
      <c r="Z20" s="6">
        <f>(K20-E20)/E20</f>
        <v>0.13088137455935425</v>
      </c>
      <c r="AA20" s="6">
        <f t="shared" si="3"/>
        <v>0.11613390122548785</v>
      </c>
      <c r="AB20" s="6">
        <f t="shared" si="4"/>
        <v>0.11559327474721696</v>
      </c>
      <c r="AC20" s="33" t="s">
        <v>16</v>
      </c>
    </row>
    <row r="21" spans="1:29" x14ac:dyDescent="0.35">
      <c r="A21" s="11" t="s">
        <v>17</v>
      </c>
      <c r="B21" s="52">
        <v>51666</v>
      </c>
      <c r="C21" s="53">
        <v>54984</v>
      </c>
      <c r="D21" s="53">
        <v>54428</v>
      </c>
      <c r="E21" s="55">
        <v>57227</v>
      </c>
      <c r="F21" s="2">
        <v>57533.324656177945</v>
      </c>
      <c r="G21" s="1">
        <v>57774.64931235589</v>
      </c>
      <c r="H21" s="1">
        <v>58034.973968533835</v>
      </c>
      <c r="I21" s="1">
        <v>59073</v>
      </c>
      <c r="J21" s="77">
        <v>59474</v>
      </c>
      <c r="K21" s="78">
        <v>61597.180542043498</v>
      </c>
      <c r="L21" s="79">
        <v>63561.680542043483</v>
      </c>
      <c r="M21" s="43">
        <v>65526.180542043483</v>
      </c>
      <c r="N21" s="43">
        <v>67490.680542043483</v>
      </c>
      <c r="O21" s="19">
        <v>69455.180542043468</v>
      </c>
      <c r="P21" s="2"/>
      <c r="Q21" s="62">
        <f>C21-B21</f>
        <v>3318</v>
      </c>
      <c r="R21" s="63">
        <f>D21-C21</f>
        <v>-556</v>
      </c>
      <c r="S21" s="63">
        <f>E21-D21</f>
        <v>2799</v>
      </c>
      <c r="T21" s="13">
        <f>K21-E21</f>
        <v>4370.1805420434976</v>
      </c>
      <c r="U21" s="13">
        <f t="shared" si="1"/>
        <v>3928.9999999999854</v>
      </c>
      <c r="V21" s="13">
        <f t="shared" si="2"/>
        <v>3928.9999999999854</v>
      </c>
      <c r="W21" s="69">
        <f>(C21-B21)/B21</f>
        <v>6.4220183486238536E-2</v>
      </c>
      <c r="X21" s="70">
        <f>(D21-C21)/C21</f>
        <v>-1.0112032591299287E-2</v>
      </c>
      <c r="Y21" s="70">
        <f>(E21-D21)/D21</f>
        <v>5.1425736753141764E-2</v>
      </c>
      <c r="Z21" s="6">
        <f>(K21-E21)/E21</f>
        <v>7.6365710976348533E-2</v>
      </c>
      <c r="AA21" s="6">
        <f t="shared" si="3"/>
        <v>6.3785387016508405E-2</v>
      </c>
      <c r="AB21" s="6">
        <f t="shared" si="4"/>
        <v>5.9960766330322365E-2</v>
      </c>
      <c r="AC21" s="33" t="s">
        <v>17</v>
      </c>
    </row>
    <row r="22" spans="1:29" x14ac:dyDescent="0.35">
      <c r="A22" s="11" t="s">
        <v>18</v>
      </c>
      <c r="B22" s="52">
        <v>14054</v>
      </c>
      <c r="C22" s="53">
        <v>14089</v>
      </c>
      <c r="D22" s="53">
        <v>13228</v>
      </c>
      <c r="E22" s="55">
        <v>11597</v>
      </c>
      <c r="F22" s="2">
        <v>11379.499574713809</v>
      </c>
      <c r="G22" s="1">
        <v>11179.999149427618</v>
      </c>
      <c r="H22" s="1">
        <v>11003.498724141427</v>
      </c>
      <c r="I22" s="1">
        <v>11045</v>
      </c>
      <c r="J22" s="77">
        <v>10899</v>
      </c>
      <c r="K22" s="78">
        <v>10156.252410339932</v>
      </c>
      <c r="L22" s="79">
        <v>9366.4423492749847</v>
      </c>
      <c r="M22" s="43">
        <v>8562.4292566960539</v>
      </c>
      <c r="N22" s="43">
        <v>7776.0845744342014</v>
      </c>
      <c r="O22" s="19">
        <v>7052.9540074035549</v>
      </c>
      <c r="P22" s="2"/>
      <c r="Q22" s="62">
        <f>C22-B22</f>
        <v>35</v>
      </c>
      <c r="R22" s="63">
        <f>D22-C22</f>
        <v>-861</v>
      </c>
      <c r="S22" s="63">
        <f>E22-D22</f>
        <v>-1631</v>
      </c>
      <c r="T22" s="13">
        <f>K22-E22</f>
        <v>-1440.7475896600681</v>
      </c>
      <c r="U22" s="13">
        <f t="shared" si="1"/>
        <v>-1593.823153643878</v>
      </c>
      <c r="V22" s="13">
        <f t="shared" si="2"/>
        <v>-1509.475249292499</v>
      </c>
      <c r="W22" s="69">
        <f>(C22-B22)/B22</f>
        <v>2.4903941938238224E-3</v>
      </c>
      <c r="X22" s="70">
        <f>(D22-C22)/C22</f>
        <v>-6.1111505429767905E-2</v>
      </c>
      <c r="Y22" s="70">
        <f>(E22-D22)/D22</f>
        <v>-0.12329906259449652</v>
      </c>
      <c r="Z22" s="6">
        <f>(K22-E22)/E22</f>
        <v>-0.12423450803311789</v>
      </c>
      <c r="AA22" s="6">
        <f t="shared" si="3"/>
        <v>-0.15693024249980533</v>
      </c>
      <c r="AB22" s="6">
        <f t="shared" si="4"/>
        <v>-0.17629053672029443</v>
      </c>
      <c r="AC22" s="33" t="s">
        <v>18</v>
      </c>
    </row>
    <row r="23" spans="1:29" x14ac:dyDescent="0.35">
      <c r="A23" s="11" t="s">
        <v>19</v>
      </c>
      <c r="B23" s="52">
        <v>11063</v>
      </c>
      <c r="C23" s="53">
        <v>12202</v>
      </c>
      <c r="D23" s="53">
        <v>11539</v>
      </c>
      <c r="E23" s="54">
        <v>10387</v>
      </c>
      <c r="F23" s="2">
        <v>10223.847784257539</v>
      </c>
      <c r="G23" s="1">
        <v>10058.695568515079</v>
      </c>
      <c r="H23" s="1">
        <v>9900.5433527726182</v>
      </c>
      <c r="I23" s="1">
        <v>10284</v>
      </c>
      <c r="J23" s="77">
        <v>10161</v>
      </c>
      <c r="K23" s="78">
        <v>9827.9905658874741</v>
      </c>
      <c r="L23" s="79">
        <v>9402.6783791882699</v>
      </c>
      <c r="M23" s="43">
        <v>8900.2922667096009</v>
      </c>
      <c r="N23" s="43">
        <v>8371.0166253491825</v>
      </c>
      <c r="O23" s="19">
        <v>7858.9480871165815</v>
      </c>
      <c r="P23" s="2"/>
      <c r="Q23" s="62">
        <f>C23-B23</f>
        <v>1139</v>
      </c>
      <c r="R23" s="63">
        <f>D23-C23</f>
        <v>-663</v>
      </c>
      <c r="S23" s="63">
        <f>E23-D23</f>
        <v>-1152</v>
      </c>
      <c r="T23" s="13">
        <f>K23-E23</f>
        <v>-559.00943411252592</v>
      </c>
      <c r="U23" s="13">
        <f t="shared" si="1"/>
        <v>-927.6982991778732</v>
      </c>
      <c r="V23" s="13">
        <f t="shared" si="2"/>
        <v>-1041.3441795930194</v>
      </c>
      <c r="W23" s="69">
        <f>(C23-B23)/B23</f>
        <v>0.10295579860797252</v>
      </c>
      <c r="X23" s="70">
        <f>(D23-C23)/C23</f>
        <v>-5.4335354859859041E-2</v>
      </c>
      <c r="Y23" s="70">
        <f>(E23-D23)/D23</f>
        <v>-9.9835341017419185E-2</v>
      </c>
      <c r="Z23" s="6">
        <f>(K23-E23)/E23</f>
        <v>-5.3818179851018187E-2</v>
      </c>
      <c r="AA23" s="6">
        <f t="shared" si="3"/>
        <v>-9.4393486945121161E-2</v>
      </c>
      <c r="AB23" s="6">
        <f t="shared" si="4"/>
        <v>-0.11700112180450899</v>
      </c>
      <c r="AC23" s="33" t="s">
        <v>19</v>
      </c>
    </row>
    <row r="24" spans="1:29" x14ac:dyDescent="0.35">
      <c r="A24" s="11" t="s">
        <v>20</v>
      </c>
      <c r="B24" s="52">
        <v>36478</v>
      </c>
      <c r="C24" s="53">
        <v>37631</v>
      </c>
      <c r="D24" s="53">
        <v>37765</v>
      </c>
      <c r="E24" s="55">
        <v>37570</v>
      </c>
      <c r="F24" s="2">
        <v>37422.106502107163</v>
      </c>
      <c r="G24" s="1">
        <v>37227.213004214325</v>
      </c>
      <c r="H24" s="1">
        <v>37070.319506321488</v>
      </c>
      <c r="I24" s="1">
        <v>37966</v>
      </c>
      <c r="J24" s="77">
        <v>37947</v>
      </c>
      <c r="K24" s="78">
        <v>38258.323134061036</v>
      </c>
      <c r="L24" s="79">
        <v>38484.22374292797</v>
      </c>
      <c r="M24" s="43">
        <v>38768.010372588098</v>
      </c>
      <c r="N24" s="43">
        <v>39111.24774234042</v>
      </c>
      <c r="O24" s="19">
        <v>39640.040441343372</v>
      </c>
      <c r="P24" s="2"/>
      <c r="Q24" s="62">
        <f>C24-B24</f>
        <v>1153</v>
      </c>
      <c r="R24" s="63">
        <f>D24-C24</f>
        <v>134</v>
      </c>
      <c r="S24" s="63">
        <f>E24-D24</f>
        <v>-195</v>
      </c>
      <c r="T24" s="13">
        <f>K24-E24</f>
        <v>688.3231340610364</v>
      </c>
      <c r="U24" s="13">
        <f t="shared" si="1"/>
        <v>509.68723852706171</v>
      </c>
      <c r="V24" s="13">
        <f t="shared" si="2"/>
        <v>872.03006875527353</v>
      </c>
      <c r="W24" s="69">
        <f>(C24-B24)/B24</f>
        <v>3.1608092548933604E-2</v>
      </c>
      <c r="X24" s="70">
        <f>(D24-C24)/C24</f>
        <v>3.5608939438229121E-3</v>
      </c>
      <c r="Y24" s="70">
        <f>(E24-D24)/D24</f>
        <v>-5.1635111876075735E-3</v>
      </c>
      <c r="Z24" s="6">
        <f>(K24-E24)/E24</f>
        <v>1.8321084217754496E-2</v>
      </c>
      <c r="AA24" s="6">
        <f t="shared" si="3"/>
        <v>1.3322257662497805E-2</v>
      </c>
      <c r="AB24" s="6">
        <f t="shared" si="4"/>
        <v>2.2493547137819186E-2</v>
      </c>
      <c r="AC24" s="33" t="s">
        <v>20</v>
      </c>
    </row>
    <row r="25" spans="1:29" x14ac:dyDescent="0.35">
      <c r="A25" s="11" t="s">
        <v>21</v>
      </c>
      <c r="B25" s="52">
        <v>13635</v>
      </c>
      <c r="C25" s="53">
        <v>13665</v>
      </c>
      <c r="D25" s="53">
        <v>13906</v>
      </c>
      <c r="E25" s="55">
        <v>13194</v>
      </c>
      <c r="F25" s="2">
        <v>13069.962944708308</v>
      </c>
      <c r="G25" s="1">
        <v>12950.925889416616</v>
      </c>
      <c r="H25" s="1">
        <v>12860.888834124924</v>
      </c>
      <c r="I25" s="1">
        <v>13139</v>
      </c>
      <c r="J25" s="77">
        <v>13175</v>
      </c>
      <c r="K25" s="78">
        <v>13170.011666571831</v>
      </c>
      <c r="L25" s="79">
        <v>13139.276370611156</v>
      </c>
      <c r="M25" s="43">
        <v>13154.224402626791</v>
      </c>
      <c r="N25" s="43">
        <v>13183.063321001973</v>
      </c>
      <c r="O25" s="19">
        <v>13280.075523599586</v>
      </c>
      <c r="P25" s="2"/>
      <c r="Q25" s="62">
        <f>C25-B25</f>
        <v>30</v>
      </c>
      <c r="R25" s="63">
        <f>D25-C25</f>
        <v>241</v>
      </c>
      <c r="S25" s="63">
        <f>E25-D25</f>
        <v>-712</v>
      </c>
      <c r="T25" s="13">
        <f>K25-E25</f>
        <v>-23.988333428169426</v>
      </c>
      <c r="U25" s="13">
        <f t="shared" si="1"/>
        <v>-15.78726394503974</v>
      </c>
      <c r="V25" s="13">
        <f t="shared" si="2"/>
        <v>125.85112097279489</v>
      </c>
      <c r="W25" s="69">
        <f>(C25-B25)/B25</f>
        <v>2.2002200220022001E-3</v>
      </c>
      <c r="X25" s="70">
        <f>(D25-C25)/C25</f>
        <v>1.7636297109403586E-2</v>
      </c>
      <c r="Y25" s="70">
        <f>(E25-D25)/D25</f>
        <v>-5.1200920465985907E-2</v>
      </c>
      <c r="Z25" s="6">
        <f>(K25-E25)/E25</f>
        <v>-1.8181244071676084E-3</v>
      </c>
      <c r="AA25" s="6">
        <f t="shared" si="3"/>
        <v>-1.1987281670456701E-3</v>
      </c>
      <c r="AB25" s="6">
        <f t="shared" si="4"/>
        <v>9.5673539633141305E-3</v>
      </c>
      <c r="AC25" s="33" t="s">
        <v>21</v>
      </c>
    </row>
    <row r="26" spans="1:29" x14ac:dyDescent="0.35">
      <c r="A26" s="11" t="s">
        <v>22</v>
      </c>
      <c r="B26" s="52">
        <v>67613</v>
      </c>
      <c r="C26" s="53">
        <v>77483</v>
      </c>
      <c r="D26" s="53">
        <v>80406</v>
      </c>
      <c r="E26" s="55">
        <v>87866</v>
      </c>
      <c r="F26" s="2">
        <v>88513.396614012105</v>
      </c>
      <c r="G26" s="1">
        <v>89165.793228024209</v>
      </c>
      <c r="H26" s="1">
        <v>89849.189842036314</v>
      </c>
      <c r="I26" s="1">
        <v>92771</v>
      </c>
      <c r="J26" s="77">
        <v>94009</v>
      </c>
      <c r="K26" s="78">
        <v>100483.06210468938</v>
      </c>
      <c r="L26" s="79">
        <v>105821.72877135607</v>
      </c>
      <c r="M26" s="43">
        <v>111160.39543802271</v>
      </c>
      <c r="N26" s="43">
        <v>116499.06210468936</v>
      </c>
      <c r="O26" s="19">
        <v>121837.72877135604</v>
      </c>
      <c r="P26" s="2"/>
      <c r="Q26" s="62">
        <f>C26-B26</f>
        <v>9870</v>
      </c>
      <c r="R26" s="63">
        <f>D26-C26</f>
        <v>2923</v>
      </c>
      <c r="S26" s="63">
        <f>E26-D26</f>
        <v>7460</v>
      </c>
      <c r="T26" s="13">
        <f>K26-E26</f>
        <v>12617.062104689379</v>
      </c>
      <c r="U26" s="13">
        <f t="shared" si="1"/>
        <v>10677.333333333328</v>
      </c>
      <c r="V26" s="13">
        <f t="shared" si="2"/>
        <v>10677.333333333328</v>
      </c>
      <c r="W26" s="69">
        <f>(C26-B26)/B26</f>
        <v>0.14597784449735998</v>
      </c>
      <c r="X26" s="70">
        <f>(D26-C26)/C26</f>
        <v>3.7724404062826684E-2</v>
      </c>
      <c r="Y26" s="70">
        <f>(E26-D26)/D26</f>
        <v>9.2779145834887944E-2</v>
      </c>
      <c r="Z26" s="6">
        <f>(K26-E26)/E26</f>
        <v>0.14359436078448296</v>
      </c>
      <c r="AA26" s="6">
        <f t="shared" si="3"/>
        <v>0.10626003138926073</v>
      </c>
      <c r="AB26" s="6">
        <f t="shared" si="4"/>
        <v>9.605339465787037E-2</v>
      </c>
      <c r="AC26" s="33" t="s">
        <v>22</v>
      </c>
    </row>
    <row r="27" spans="1:29" x14ac:dyDescent="0.35">
      <c r="A27" s="11" t="s">
        <v>23</v>
      </c>
      <c r="B27" s="52">
        <v>49633</v>
      </c>
      <c r="C27" s="53">
        <v>49129</v>
      </c>
      <c r="D27" s="53">
        <v>50251</v>
      </c>
      <c r="E27" s="55">
        <v>49326</v>
      </c>
      <c r="F27" s="2">
        <v>49131.206313377828</v>
      </c>
      <c r="G27" s="1">
        <v>48853.412626755657</v>
      </c>
      <c r="H27" s="1">
        <v>48687.618940133485</v>
      </c>
      <c r="I27" s="1">
        <v>50024</v>
      </c>
      <c r="J27" s="77">
        <v>49912</v>
      </c>
      <c r="K27" s="78">
        <v>50202.746169854712</v>
      </c>
      <c r="L27" s="79">
        <v>50092.505359536539</v>
      </c>
      <c r="M27" s="43">
        <v>49703.748654091149</v>
      </c>
      <c r="N27" s="43">
        <v>49151.450280829245</v>
      </c>
      <c r="O27" s="19">
        <v>48586.496079418874</v>
      </c>
      <c r="P27" s="2"/>
      <c r="Q27" s="62">
        <f>C27-B27</f>
        <v>-504</v>
      </c>
      <c r="R27" s="63">
        <f>D27-C27</f>
        <v>1122</v>
      </c>
      <c r="S27" s="63">
        <f>E27-D27</f>
        <v>-925</v>
      </c>
      <c r="T27" s="13">
        <f>K27-E27</f>
        <v>876.74616985471221</v>
      </c>
      <c r="U27" s="13">
        <f t="shared" si="1"/>
        <v>-498.99751576356357</v>
      </c>
      <c r="V27" s="13">
        <f t="shared" si="2"/>
        <v>-1117.2525746722749</v>
      </c>
      <c r="W27" s="69">
        <f>(C27-B27)/B27</f>
        <v>-1.0154534281627143E-2</v>
      </c>
      <c r="X27" s="70">
        <f>(D27-C27)/C27</f>
        <v>2.2837835087219361E-2</v>
      </c>
      <c r="Y27" s="70">
        <f>(E27-D27)/D27</f>
        <v>-1.8407593878728781E-2</v>
      </c>
      <c r="Z27" s="6">
        <f>(K27-E27)/E27</f>
        <v>1.7774523980349354E-2</v>
      </c>
      <c r="AA27" s="6">
        <f t="shared" si="3"/>
        <v>-9.9396458129056911E-3</v>
      </c>
      <c r="AB27" s="6">
        <f t="shared" si="4"/>
        <v>-2.2478235644713553E-2</v>
      </c>
      <c r="AC27" s="33" t="s">
        <v>23</v>
      </c>
    </row>
    <row r="28" spans="1:29" x14ac:dyDescent="0.35">
      <c r="A28" s="11" t="s">
        <v>24</v>
      </c>
      <c r="B28" s="52">
        <v>48130</v>
      </c>
      <c r="C28" s="53">
        <v>46365</v>
      </c>
      <c r="D28" s="53">
        <v>43820</v>
      </c>
      <c r="E28" s="54">
        <v>38462</v>
      </c>
      <c r="F28" s="2">
        <v>37822.410490432441</v>
      </c>
      <c r="G28" s="1">
        <v>37113.820980864883</v>
      </c>
      <c r="H28" s="1">
        <v>36506.231471297324</v>
      </c>
      <c r="I28" s="1">
        <v>35584</v>
      </c>
      <c r="J28" s="77">
        <v>35140</v>
      </c>
      <c r="K28" s="78">
        <v>31844.636992162166</v>
      </c>
      <c r="L28" s="79">
        <v>28576.976532062545</v>
      </c>
      <c r="M28" s="43">
        <v>25419.300346234155</v>
      </c>
      <c r="N28" s="43">
        <v>22468.129653644726</v>
      </c>
      <c r="O28" s="19">
        <v>19813.291920138057</v>
      </c>
      <c r="P28" s="2"/>
      <c r="Q28" s="62">
        <f>C28-B28</f>
        <v>-1765</v>
      </c>
      <c r="R28" s="63">
        <f>D28-C28</f>
        <v>-2545</v>
      </c>
      <c r="S28" s="63">
        <f>E28-D28</f>
        <v>-5358</v>
      </c>
      <c r="T28" s="13">
        <f>K28-E28</f>
        <v>-6617.3630078378337</v>
      </c>
      <c r="U28" s="13">
        <f t="shared" si="1"/>
        <v>-6425.3366459280114</v>
      </c>
      <c r="V28" s="13">
        <f t="shared" si="2"/>
        <v>-5606.0084260960975</v>
      </c>
      <c r="W28" s="69">
        <f>(C28-B28)/B28</f>
        <v>-3.66715146478288E-2</v>
      </c>
      <c r="X28" s="70">
        <f>(D28-C28)/C28</f>
        <v>-5.4890542435026418E-2</v>
      </c>
      <c r="Y28" s="70">
        <f>(E28-D28)/D28</f>
        <v>-0.12227293473299863</v>
      </c>
      <c r="Z28" s="6">
        <f>(K28-E28)/E28</f>
        <v>-0.17204937361130035</v>
      </c>
      <c r="AA28" s="6">
        <f t="shared" si="3"/>
        <v>-0.20177138924552546</v>
      </c>
      <c r="AB28" s="6">
        <f t="shared" si="4"/>
        <v>-0.22054141340387531</v>
      </c>
      <c r="AC28" s="33" t="s">
        <v>24</v>
      </c>
    </row>
    <row r="29" spans="1:29" x14ac:dyDescent="0.35">
      <c r="A29" s="11" t="s">
        <v>25</v>
      </c>
      <c r="B29" s="52">
        <v>54651</v>
      </c>
      <c r="C29" s="53">
        <v>64452</v>
      </c>
      <c r="D29" s="53">
        <v>71109</v>
      </c>
      <c r="E29" s="55">
        <v>71608</v>
      </c>
      <c r="F29" s="2">
        <v>71401.147546843436</v>
      </c>
      <c r="G29" s="1">
        <v>71149.295093686873</v>
      </c>
      <c r="H29" s="1">
        <v>71039.442640530309</v>
      </c>
      <c r="I29" s="1">
        <v>73581</v>
      </c>
      <c r="J29" s="77">
        <v>74085</v>
      </c>
      <c r="K29" s="78">
        <v>76563.502182321914</v>
      </c>
      <c r="L29" s="79">
        <v>78298.002182321914</v>
      </c>
      <c r="M29" s="43">
        <v>80032.502182321929</v>
      </c>
      <c r="N29" s="43">
        <v>81767.002182321914</v>
      </c>
      <c r="O29" s="19">
        <v>83501.502182321899</v>
      </c>
      <c r="P29" s="2"/>
      <c r="Q29" s="62">
        <f>C29-B29</f>
        <v>9801</v>
      </c>
      <c r="R29" s="63">
        <f>D29-C29</f>
        <v>6657</v>
      </c>
      <c r="S29" s="63">
        <f>E29-D29</f>
        <v>499</v>
      </c>
      <c r="T29" s="13">
        <f>K29-E29</f>
        <v>4955.502182321914</v>
      </c>
      <c r="U29" s="13">
        <f t="shared" si="1"/>
        <v>3469.0000000000146</v>
      </c>
      <c r="V29" s="13">
        <f t="shared" si="2"/>
        <v>3468.9999999999709</v>
      </c>
      <c r="W29" s="69">
        <f>(C29-B29)/B29</f>
        <v>0.17933798100675194</v>
      </c>
      <c r="X29" s="70">
        <f>(D29-C29)/C29</f>
        <v>0.10328616644945075</v>
      </c>
      <c r="Y29" s="70">
        <f>(E29-D29)/D29</f>
        <v>7.0173958289386712E-3</v>
      </c>
      <c r="Z29" s="6">
        <f>(K29-E29)/E29</f>
        <v>6.9203192133866526E-2</v>
      </c>
      <c r="AA29" s="6">
        <f t="shared" si="3"/>
        <v>4.5308794675290955E-2</v>
      </c>
      <c r="AB29" s="6">
        <f t="shared" si="4"/>
        <v>4.3344889956048696E-2</v>
      </c>
      <c r="AC29" s="33" t="s">
        <v>25</v>
      </c>
    </row>
    <row r="30" spans="1:29" x14ac:dyDescent="0.35">
      <c r="A30" s="11" t="s">
        <v>26</v>
      </c>
      <c r="B30" s="52">
        <v>49210</v>
      </c>
      <c r="C30" s="53">
        <v>65874</v>
      </c>
      <c r="D30" s="53">
        <v>79303</v>
      </c>
      <c r="E30" s="54">
        <v>87977</v>
      </c>
      <c r="F30" s="2">
        <v>88592.67582870886</v>
      </c>
      <c r="G30" s="1">
        <v>89196.351657417719</v>
      </c>
      <c r="H30" s="1">
        <v>89892.027486126579</v>
      </c>
      <c r="I30" s="1">
        <v>91051</v>
      </c>
      <c r="J30" s="77">
        <v>91577</v>
      </c>
      <c r="K30" s="78">
        <v>94808.639951924531</v>
      </c>
      <c r="L30" s="79">
        <v>97522.54698404076</v>
      </c>
      <c r="M30" s="43">
        <v>99764.965857400442</v>
      </c>
      <c r="N30" s="43">
        <v>101577.02856241715</v>
      </c>
      <c r="O30" s="19">
        <v>103166.01403969686</v>
      </c>
      <c r="P30" s="2"/>
      <c r="Q30" s="62">
        <f>C30-B30</f>
        <v>16664</v>
      </c>
      <c r="R30" s="63">
        <f>D30-C30</f>
        <v>13429</v>
      </c>
      <c r="S30" s="63">
        <f>E30-D30</f>
        <v>8674</v>
      </c>
      <c r="T30" s="13">
        <f>K30-E30</f>
        <v>6831.6399519245315</v>
      </c>
      <c r="U30" s="13">
        <f t="shared" si="1"/>
        <v>4956.325905475911</v>
      </c>
      <c r="V30" s="13">
        <f t="shared" si="2"/>
        <v>3401.0481822964211</v>
      </c>
      <c r="W30" s="69">
        <f>(C30-B30)/B30</f>
        <v>0.33863035968299127</v>
      </c>
      <c r="X30" s="70">
        <f>(D30-C30)/C30</f>
        <v>0.2038588821082673</v>
      </c>
      <c r="Y30" s="70">
        <f>(E30-D30)/D30</f>
        <v>0.10937795543674261</v>
      </c>
      <c r="Z30" s="6">
        <f>(K30-E30)/E30</f>
        <v>7.7652567738437678E-2</v>
      </c>
      <c r="AA30" s="6">
        <f t="shared" si="3"/>
        <v>5.2277154360500899E-2</v>
      </c>
      <c r="AB30" s="6">
        <f t="shared" si="4"/>
        <v>3.4090606387393814E-2</v>
      </c>
      <c r="AC30" s="33" t="s">
        <v>26</v>
      </c>
    </row>
    <row r="31" spans="1:29" x14ac:dyDescent="0.35">
      <c r="A31" s="11" t="s">
        <v>27</v>
      </c>
      <c r="B31" s="52">
        <v>35518</v>
      </c>
      <c r="C31" s="53">
        <v>38440</v>
      </c>
      <c r="D31" s="53">
        <v>38319</v>
      </c>
      <c r="E31" s="55">
        <v>36757</v>
      </c>
      <c r="F31" s="2">
        <v>36469.029259407915</v>
      </c>
      <c r="G31" s="1">
        <v>36112.058518815829</v>
      </c>
      <c r="H31" s="1">
        <v>35857.087778223744</v>
      </c>
      <c r="I31" s="1">
        <v>36672.999999999993</v>
      </c>
      <c r="J31" s="77">
        <v>36665</v>
      </c>
      <c r="K31" s="78">
        <v>36508.11496089209</v>
      </c>
      <c r="L31" s="79">
        <v>36281.170022371545</v>
      </c>
      <c r="M31" s="43">
        <v>36009.408211866656</v>
      </c>
      <c r="N31" s="43">
        <v>35748.646131061163</v>
      </c>
      <c r="O31" s="19">
        <v>35541.897852168971</v>
      </c>
      <c r="P31" s="2"/>
      <c r="Q31" s="62">
        <f>C31-B31</f>
        <v>2922</v>
      </c>
      <c r="R31" s="63">
        <f>D31-C31</f>
        <v>-121</v>
      </c>
      <c r="S31" s="63">
        <f>E31-D31</f>
        <v>-1562</v>
      </c>
      <c r="T31" s="13">
        <f>K31-E31</f>
        <v>-248.88503910791042</v>
      </c>
      <c r="U31" s="13">
        <f t="shared" si="1"/>
        <v>-498.70674902543396</v>
      </c>
      <c r="V31" s="13">
        <f t="shared" si="2"/>
        <v>-467.51035969768418</v>
      </c>
      <c r="W31" s="69">
        <f>(C31-B31)/B31</f>
        <v>8.2268145728926184E-2</v>
      </c>
      <c r="X31" s="70">
        <f>(D31-C31)/C31</f>
        <v>-3.1477627471383973E-3</v>
      </c>
      <c r="Y31" s="70">
        <f>(E31-D31)/D31</f>
        <v>-4.0763067929747647E-2</v>
      </c>
      <c r="Z31" s="6">
        <f>(K31-E31)/E31</f>
        <v>-6.7710922846780314E-3</v>
      </c>
      <c r="AA31" s="6">
        <f t="shared" si="3"/>
        <v>-1.3660161571191893E-2</v>
      </c>
      <c r="AB31" s="6">
        <f t="shared" si="4"/>
        <v>-1.2983005911872202E-2</v>
      </c>
      <c r="AC31" s="33" t="s">
        <v>27</v>
      </c>
    </row>
    <row r="32" spans="1:29" x14ac:dyDescent="0.35">
      <c r="A32" s="11" t="s">
        <v>28</v>
      </c>
      <c r="B32" s="52">
        <v>99840</v>
      </c>
      <c r="C32" s="53">
        <v>103459</v>
      </c>
      <c r="D32" s="53">
        <v>104430</v>
      </c>
      <c r="E32" s="55">
        <v>103436</v>
      </c>
      <c r="F32" s="2">
        <v>103103.33197800534</v>
      </c>
      <c r="G32" s="1">
        <v>102600.66395601069</v>
      </c>
      <c r="H32" s="1">
        <v>102218.99593401603</v>
      </c>
      <c r="I32" s="1">
        <v>103475</v>
      </c>
      <c r="J32" s="77">
        <v>103886</v>
      </c>
      <c r="K32" s="78">
        <v>103991.984773537</v>
      </c>
      <c r="L32" s="79">
        <v>103830.34697669165</v>
      </c>
      <c r="M32" s="43">
        <v>103610.84886658675</v>
      </c>
      <c r="N32" s="43">
        <v>103455.73840617885</v>
      </c>
      <c r="O32" s="19">
        <v>103485.16150947601</v>
      </c>
      <c r="P32" s="2"/>
      <c r="Q32" s="62">
        <f>C32-B32</f>
        <v>3619</v>
      </c>
      <c r="R32" s="63">
        <f>D32-C32</f>
        <v>971</v>
      </c>
      <c r="S32" s="63">
        <f>E32-D32</f>
        <v>-994</v>
      </c>
      <c r="T32" s="13">
        <f>K32-E32</f>
        <v>555.98477353699855</v>
      </c>
      <c r="U32" s="13">
        <f t="shared" si="1"/>
        <v>-381.1359069502505</v>
      </c>
      <c r="V32" s="13">
        <f t="shared" si="2"/>
        <v>-125.6873571107426</v>
      </c>
      <c r="W32" s="69">
        <f>(C32-B32)/B32</f>
        <v>3.6247996794871798E-2</v>
      </c>
      <c r="X32" s="70">
        <f>(D32-C32)/C32</f>
        <v>9.3853603843068265E-3</v>
      </c>
      <c r="Y32" s="70">
        <f>(E32-D32)/D32</f>
        <v>-9.518337642439912E-3</v>
      </c>
      <c r="Z32" s="6">
        <f>(K32-E32)/E32</f>
        <v>5.3751573295274229E-3</v>
      </c>
      <c r="AA32" s="6">
        <f t="shared" si="3"/>
        <v>-3.6650507996385385E-3</v>
      </c>
      <c r="AB32" s="6">
        <f t="shared" si="4"/>
        <v>-1.2130713963417325E-3</v>
      </c>
      <c r="AC32" s="33" t="s">
        <v>28</v>
      </c>
    </row>
    <row r="33" spans="1:29" x14ac:dyDescent="0.35">
      <c r="A33" s="11" t="s">
        <v>29</v>
      </c>
      <c r="B33" s="52">
        <v>17962</v>
      </c>
      <c r="C33" s="53">
        <v>18495</v>
      </c>
      <c r="D33" s="53">
        <v>17241</v>
      </c>
      <c r="E33" s="55">
        <v>16321.000000000002</v>
      </c>
      <c r="F33" s="2">
        <v>16200.913096468043</v>
      </c>
      <c r="G33" s="1">
        <v>16053.826192936085</v>
      </c>
      <c r="H33" s="1">
        <v>15925.739289404128</v>
      </c>
      <c r="I33" s="1">
        <v>15920.999999999998</v>
      </c>
      <c r="J33" s="77">
        <v>15872</v>
      </c>
      <c r="K33" s="78">
        <v>15391.127383788145</v>
      </c>
      <c r="L33" s="79">
        <v>14912.254689785546</v>
      </c>
      <c r="M33" s="43">
        <v>14441</v>
      </c>
      <c r="N33" s="43">
        <v>13978.679664200467</v>
      </c>
      <c r="O33" s="19">
        <v>13541.495033691037</v>
      </c>
      <c r="P33" s="2"/>
      <c r="Q33" s="62">
        <f>C33-B33</f>
        <v>533</v>
      </c>
      <c r="R33" s="63">
        <f>D33-C33</f>
        <v>-1254</v>
      </c>
      <c r="S33" s="63">
        <f>E33-D33</f>
        <v>-919.99999999999818</v>
      </c>
      <c r="T33" s="13">
        <f>K33-E33</f>
        <v>-929.87261621185644</v>
      </c>
      <c r="U33" s="13">
        <f t="shared" si="1"/>
        <v>-950.12738378814538</v>
      </c>
      <c r="V33" s="13">
        <f t="shared" si="2"/>
        <v>-899.50496630896305</v>
      </c>
      <c r="W33" s="69">
        <f>(C33-B33)/B33</f>
        <v>2.9673755706491483E-2</v>
      </c>
      <c r="X33" s="70">
        <f>(D33-C33)/C33</f>
        <v>-6.7802108678021084E-2</v>
      </c>
      <c r="Y33" s="70">
        <f>(E33-D33)/D33</f>
        <v>-5.33611739458267E-2</v>
      </c>
      <c r="Z33" s="6">
        <f>(K33-E33)/E33</f>
        <v>-5.6973997684691892E-2</v>
      </c>
      <c r="AA33" s="6">
        <f t="shared" si="3"/>
        <v>-6.1732149965111588E-2</v>
      </c>
      <c r="AB33" s="6">
        <f t="shared" si="4"/>
        <v>-6.2288274102137185E-2</v>
      </c>
      <c r="AC33" s="33" t="s">
        <v>29</v>
      </c>
    </row>
    <row r="34" spans="1:29" x14ac:dyDescent="0.35">
      <c r="A34" s="11" t="s">
        <v>30</v>
      </c>
      <c r="B34" s="52">
        <v>27814</v>
      </c>
      <c r="C34" s="53">
        <v>31223</v>
      </c>
      <c r="D34" s="53">
        <v>31704</v>
      </c>
      <c r="E34" s="55">
        <v>32113</v>
      </c>
      <c r="F34" s="2">
        <v>32063.800877439644</v>
      </c>
      <c r="G34" s="1">
        <v>32031.601754879288</v>
      </c>
      <c r="H34" s="1">
        <v>32026.402632318932</v>
      </c>
      <c r="I34" s="1">
        <v>32189</v>
      </c>
      <c r="J34" s="77">
        <v>32449</v>
      </c>
      <c r="K34" s="78">
        <v>32779.946822644415</v>
      </c>
      <c r="L34" s="79">
        <v>33109.050211643262</v>
      </c>
      <c r="M34" s="43">
        <v>33448.897151337464</v>
      </c>
      <c r="N34" s="43">
        <v>33829.774214911879</v>
      </c>
      <c r="O34" s="19">
        <v>34201.881407755878</v>
      </c>
      <c r="P34" s="2"/>
      <c r="Q34" s="62">
        <f>C34-B34</f>
        <v>3409</v>
      </c>
      <c r="R34" s="63">
        <f>D34-C34</f>
        <v>481</v>
      </c>
      <c r="S34" s="63">
        <f>E34-D34</f>
        <v>409</v>
      </c>
      <c r="T34" s="13">
        <f>K34-E34</f>
        <v>666.94682264441508</v>
      </c>
      <c r="U34" s="13">
        <f t="shared" si="1"/>
        <v>668.9503286930485</v>
      </c>
      <c r="V34" s="13">
        <f t="shared" si="2"/>
        <v>752.98425641841459</v>
      </c>
      <c r="W34" s="69">
        <f>(C34-B34)/B34</f>
        <v>0.12256417631408643</v>
      </c>
      <c r="X34" s="70">
        <f>(D34-C34)/C34</f>
        <v>1.5405310188002433E-2</v>
      </c>
      <c r="Y34" s="70">
        <f>(E34-D34)/D34</f>
        <v>1.2900580368407771E-2</v>
      </c>
      <c r="Z34" s="6">
        <f>(K34-E34)/E34</f>
        <v>2.0768748564270391E-2</v>
      </c>
      <c r="AA34" s="6">
        <f t="shared" si="3"/>
        <v>2.0407303657702613E-2</v>
      </c>
      <c r="AB34" s="6">
        <f t="shared" si="4"/>
        <v>2.2511482307221789E-2</v>
      </c>
      <c r="AC34" s="33" t="s">
        <v>30</v>
      </c>
    </row>
    <row r="35" spans="1:29" x14ac:dyDescent="0.35">
      <c r="A35" s="11" t="s">
        <v>31</v>
      </c>
      <c r="B35" s="52">
        <v>23647</v>
      </c>
      <c r="C35" s="53">
        <v>25764</v>
      </c>
      <c r="D35" s="53">
        <v>26790</v>
      </c>
      <c r="E35" s="55">
        <v>26659</v>
      </c>
      <c r="F35" s="2">
        <v>26561.617059829852</v>
      </c>
      <c r="G35" s="1">
        <v>26402.234119659704</v>
      </c>
      <c r="H35" s="1">
        <v>26350.851179489557</v>
      </c>
      <c r="I35" s="1">
        <v>27331</v>
      </c>
      <c r="J35" s="77">
        <v>27554</v>
      </c>
      <c r="K35" s="78">
        <v>28555.700022404701</v>
      </c>
      <c r="L35" s="79">
        <v>29661.106279427317</v>
      </c>
      <c r="M35" s="43">
        <v>30869.697002553148</v>
      </c>
      <c r="N35" s="43">
        <v>32162.545110152918</v>
      </c>
      <c r="O35" s="19">
        <v>33530.836193878407</v>
      </c>
      <c r="P35" s="2"/>
      <c r="Q35" s="62">
        <f>C35-B35</f>
        <v>2117</v>
      </c>
      <c r="R35" s="63">
        <f>D35-C35</f>
        <v>1026</v>
      </c>
      <c r="S35" s="63">
        <f>E35-D35</f>
        <v>-131</v>
      </c>
      <c r="T35" s="13">
        <f>K35-E35</f>
        <v>1896.7000224047006</v>
      </c>
      <c r="U35" s="13">
        <f t="shared" si="1"/>
        <v>2313.9969801484476</v>
      </c>
      <c r="V35" s="13">
        <f t="shared" si="2"/>
        <v>2661.1391913252592</v>
      </c>
      <c r="W35" s="69">
        <f>(C35-B35)/B35</f>
        <v>8.9525098321140098E-2</v>
      </c>
      <c r="X35" s="70">
        <f>(D35-C35)/C35</f>
        <v>3.9823008849557522E-2</v>
      </c>
      <c r="Y35" s="70">
        <f>(E35-D35)/D35</f>
        <v>-4.8898842851810374E-3</v>
      </c>
      <c r="Z35" s="6">
        <f>(K35-E35)/E35</f>
        <v>7.1146705518012707E-2</v>
      </c>
      <c r="AA35" s="6">
        <f t="shared" si="3"/>
        <v>8.1034503735957927E-2</v>
      </c>
      <c r="AB35" s="6">
        <f t="shared" si="4"/>
        <v>8.6205549445631538E-2</v>
      </c>
      <c r="AC35" s="33" t="s">
        <v>31</v>
      </c>
    </row>
    <row r="36" spans="1:29" x14ac:dyDescent="0.35">
      <c r="A36" s="11" t="s">
        <v>32</v>
      </c>
      <c r="B36" s="52">
        <v>10153</v>
      </c>
      <c r="C36" s="53">
        <v>9974</v>
      </c>
      <c r="D36" s="53">
        <v>9045</v>
      </c>
      <c r="E36" s="55">
        <v>7730</v>
      </c>
      <c r="F36" s="2">
        <v>7568.9338002291406</v>
      </c>
      <c r="G36" s="1">
        <v>7418.8676004582812</v>
      </c>
      <c r="H36" s="1">
        <v>7269.8014006874218</v>
      </c>
      <c r="I36" s="1">
        <v>7136.7135999999991</v>
      </c>
      <c r="J36" s="77">
        <v>7067</v>
      </c>
      <c r="K36" s="78">
        <v>6415</v>
      </c>
      <c r="L36" s="79">
        <v>5756</v>
      </c>
      <c r="M36" s="43">
        <v>5135.9314070657074</v>
      </c>
      <c r="N36" s="43">
        <v>4585</v>
      </c>
      <c r="O36" s="19">
        <v>4114.5866933278794</v>
      </c>
      <c r="P36" s="2"/>
      <c r="Q36" s="62">
        <f>C36-B36</f>
        <v>-179</v>
      </c>
      <c r="R36" s="63">
        <f>D36-C36</f>
        <v>-929</v>
      </c>
      <c r="S36" s="63">
        <f>E36-D36</f>
        <v>-1315</v>
      </c>
      <c r="T36" s="13">
        <f>K36-E36</f>
        <v>-1315</v>
      </c>
      <c r="U36" s="13">
        <f t="shared" ref="U36:U59" si="5">M36-K36</f>
        <v>-1279.0685929342926</v>
      </c>
      <c r="V36" s="13">
        <f t="shared" ref="V36:V59" si="6">O36-M36</f>
        <v>-1021.344713737828</v>
      </c>
      <c r="W36" s="69">
        <f>(C36-B36)/B36</f>
        <v>-1.7630257066876785E-2</v>
      </c>
      <c r="X36" s="70">
        <f>(D36-C36)/C36</f>
        <v>-9.314216964106678E-2</v>
      </c>
      <c r="Y36" s="70">
        <f>(E36-D36)/D36</f>
        <v>-0.14538419016030957</v>
      </c>
      <c r="Z36" s="6">
        <f>(K36-E36)/E36</f>
        <v>-0.17011642949547218</v>
      </c>
      <c r="AA36" s="6">
        <f t="shared" ref="AA36:AA60" si="7">(M36-K36)/K36</f>
        <v>-0.19938715400378684</v>
      </c>
      <c r="AB36" s="6">
        <f t="shared" ref="AB36:AB60" si="8">(O36-M36)/M36</f>
        <v>-0.19886260792593977</v>
      </c>
      <c r="AC36" s="33" t="s">
        <v>32</v>
      </c>
    </row>
    <row r="37" spans="1:29" x14ac:dyDescent="0.35">
      <c r="A37" s="11" t="s">
        <v>33</v>
      </c>
      <c r="B37" s="52">
        <v>15498</v>
      </c>
      <c r="C37" s="53">
        <v>17185</v>
      </c>
      <c r="D37" s="53">
        <v>15760</v>
      </c>
      <c r="E37" s="55">
        <v>14785</v>
      </c>
      <c r="F37" s="2">
        <v>14613.405013005729</v>
      </c>
      <c r="G37" s="1">
        <v>14454.810026011459</v>
      </c>
      <c r="H37" s="1">
        <v>14334.215039017188</v>
      </c>
      <c r="I37" s="1">
        <v>15144.4854</v>
      </c>
      <c r="J37" s="77">
        <v>15194</v>
      </c>
      <c r="K37" s="78">
        <v>15607.713870822054</v>
      </c>
      <c r="L37" s="79">
        <v>16065</v>
      </c>
      <c r="M37" s="43">
        <v>16567.177066107717</v>
      </c>
      <c r="N37" s="43">
        <v>17143.499330834213</v>
      </c>
      <c r="O37" s="19">
        <v>17866.176348245986</v>
      </c>
      <c r="P37" s="2"/>
      <c r="Q37" s="62">
        <f>C37-B37</f>
        <v>1687</v>
      </c>
      <c r="R37" s="63">
        <f>D37-C37</f>
        <v>-1425</v>
      </c>
      <c r="S37" s="63">
        <f>E37-D37</f>
        <v>-975</v>
      </c>
      <c r="T37" s="13">
        <f>K37-E37</f>
        <v>822.71387082205365</v>
      </c>
      <c r="U37" s="13">
        <f t="shared" si="5"/>
        <v>959.46319528566346</v>
      </c>
      <c r="V37" s="13">
        <f t="shared" si="6"/>
        <v>1298.9992821382693</v>
      </c>
      <c r="W37" s="69">
        <f>(C37-B37)/B37</f>
        <v>0.10885275519421861</v>
      </c>
      <c r="X37" s="70">
        <f>(D37-C37)/C37</f>
        <v>-8.2921152167588011E-2</v>
      </c>
      <c r="Y37" s="70">
        <f>(E37-D37)/D37</f>
        <v>-6.1865482233502536E-2</v>
      </c>
      <c r="Z37" s="6">
        <f>(K37-E37)/E37</f>
        <v>5.5645172189520031E-2</v>
      </c>
      <c r="AA37" s="6">
        <f t="shared" si="7"/>
        <v>6.1473653555331922E-2</v>
      </c>
      <c r="AB37" s="6">
        <f t="shared" si="8"/>
        <v>7.8408003786939393E-2</v>
      </c>
      <c r="AC37" s="33" t="s">
        <v>33</v>
      </c>
    </row>
    <row r="38" spans="1:29" x14ac:dyDescent="0.35">
      <c r="A38" s="11" t="s">
        <v>34</v>
      </c>
      <c r="B38" s="52">
        <v>15374</v>
      </c>
      <c r="C38" s="53">
        <v>16310</v>
      </c>
      <c r="D38" s="53">
        <v>17302</v>
      </c>
      <c r="E38" s="55">
        <v>17146</v>
      </c>
      <c r="F38" s="2">
        <v>17086.176498476303</v>
      </c>
      <c r="G38" s="1">
        <v>17032.352996952606</v>
      </c>
      <c r="H38" s="1">
        <v>16999.529495428909</v>
      </c>
      <c r="I38" s="1">
        <v>18234</v>
      </c>
      <c r="J38" s="77">
        <v>18394</v>
      </c>
      <c r="K38" s="78">
        <v>19676.074243100091</v>
      </c>
      <c r="L38" s="79">
        <v>20482.074243100091</v>
      </c>
      <c r="M38" s="43">
        <v>21288.074243100094</v>
      </c>
      <c r="N38" s="43">
        <v>22094.074243100094</v>
      </c>
      <c r="O38" s="19">
        <v>22900.074243100094</v>
      </c>
      <c r="P38" s="2"/>
      <c r="Q38" s="62">
        <f>C38-B38</f>
        <v>936</v>
      </c>
      <c r="R38" s="63">
        <f>D38-C38</f>
        <v>992</v>
      </c>
      <c r="S38" s="63">
        <f>E38-D38</f>
        <v>-156</v>
      </c>
      <c r="T38" s="13">
        <f>K38-E38</f>
        <v>2530.0742431000908</v>
      </c>
      <c r="U38" s="13">
        <f t="shared" si="5"/>
        <v>1612.0000000000036</v>
      </c>
      <c r="V38" s="13">
        <f t="shared" si="6"/>
        <v>1612</v>
      </c>
      <c r="W38" s="69">
        <f>(C38-B38)/B38</f>
        <v>6.088200858592429E-2</v>
      </c>
      <c r="X38" s="70">
        <f>(D38-C38)/C38</f>
        <v>6.082158185162477E-2</v>
      </c>
      <c r="Y38" s="70">
        <f>(E38-D38)/D38</f>
        <v>-9.0162986937926248E-3</v>
      </c>
      <c r="Z38" s="6">
        <f>(K38-E38)/E38</f>
        <v>0.14756061140208157</v>
      </c>
      <c r="AA38" s="6">
        <f t="shared" si="7"/>
        <v>8.1926911846517958E-2</v>
      </c>
      <c r="AB38" s="6">
        <f t="shared" si="8"/>
        <v>7.5723148162285397E-2</v>
      </c>
      <c r="AC38" s="33" t="s">
        <v>34</v>
      </c>
    </row>
    <row r="39" spans="1:29" x14ac:dyDescent="0.35">
      <c r="A39" s="11" t="s">
        <v>35</v>
      </c>
      <c r="B39" s="52">
        <v>81331</v>
      </c>
      <c r="C39" s="53">
        <v>88787</v>
      </c>
      <c r="D39" s="53">
        <v>101547</v>
      </c>
      <c r="E39" s="55">
        <v>107202</v>
      </c>
      <c r="F39" s="2">
        <v>107473.4611093994</v>
      </c>
      <c r="G39" s="1">
        <v>107564.92221879881</v>
      </c>
      <c r="H39" s="1">
        <v>107797.38332819821</v>
      </c>
      <c r="I39" s="1">
        <v>109707</v>
      </c>
      <c r="J39" s="77">
        <v>110318</v>
      </c>
      <c r="K39" s="78">
        <v>113035.46585419255</v>
      </c>
      <c r="L39" s="79">
        <v>115261.3992340555</v>
      </c>
      <c r="M39" s="43">
        <v>117029.28484381037</v>
      </c>
      <c r="N39" s="43">
        <v>118566.19590780479</v>
      </c>
      <c r="O39" s="19">
        <v>119952.67952431671</v>
      </c>
      <c r="P39" s="2"/>
      <c r="Q39" s="62">
        <f>C39-B39</f>
        <v>7456</v>
      </c>
      <c r="R39" s="63">
        <f>D39-C39</f>
        <v>12760</v>
      </c>
      <c r="S39" s="63">
        <f>E39-D39</f>
        <v>5655</v>
      </c>
      <c r="T39" s="13">
        <f>K39-E39</f>
        <v>5833.4658541925455</v>
      </c>
      <c r="U39" s="13">
        <f t="shared" si="5"/>
        <v>3993.8189896178228</v>
      </c>
      <c r="V39" s="13">
        <f t="shared" si="6"/>
        <v>2923.394680506346</v>
      </c>
      <c r="W39" s="69">
        <f>(C39-B39)/B39</f>
        <v>9.1674761161180854E-2</v>
      </c>
      <c r="X39" s="70">
        <f>(D39-C39)/C39</f>
        <v>0.14371473301271581</v>
      </c>
      <c r="Y39" s="70">
        <f>(E39-D39)/D39</f>
        <v>5.5688498921681588E-2</v>
      </c>
      <c r="Z39" s="6">
        <f>(K39-E39)/E39</f>
        <v>5.4415643870380642E-2</v>
      </c>
      <c r="AA39" s="6">
        <f t="shared" si="7"/>
        <v>3.5332441543343182E-2</v>
      </c>
      <c r="AB39" s="6">
        <f t="shared" si="8"/>
        <v>2.4980026874538003E-2</v>
      </c>
      <c r="AC39" s="33" t="s">
        <v>35</v>
      </c>
    </row>
    <row r="40" spans="1:29" x14ac:dyDescent="0.35">
      <c r="A40" s="11" t="s">
        <v>36</v>
      </c>
      <c r="B40" s="52">
        <v>47796</v>
      </c>
      <c r="C40" s="53">
        <v>53926</v>
      </c>
      <c r="D40" s="53">
        <v>53227</v>
      </c>
      <c r="E40" s="55">
        <v>52578.999999999993</v>
      </c>
      <c r="F40" s="2">
        <v>52327.664391253529</v>
      </c>
      <c r="G40" s="1">
        <v>52035.328782507058</v>
      </c>
      <c r="H40" s="1">
        <v>51843.993173760588</v>
      </c>
      <c r="I40" s="1">
        <v>53935</v>
      </c>
      <c r="J40" s="77">
        <v>54281</v>
      </c>
      <c r="K40" s="78">
        <v>56016.651892559647</v>
      </c>
      <c r="L40" s="79">
        <v>57043.318559226318</v>
      </c>
      <c r="M40" s="43">
        <v>58069.985225892975</v>
      </c>
      <c r="N40" s="43">
        <v>59096.651892559632</v>
      </c>
      <c r="O40" s="19">
        <v>60123.318559226289</v>
      </c>
      <c r="P40" s="2"/>
      <c r="Q40" s="62">
        <f>C40-B40</f>
        <v>6130</v>
      </c>
      <c r="R40" s="63">
        <f>D40-C40</f>
        <v>-699</v>
      </c>
      <c r="S40" s="63">
        <f>E40-D40</f>
        <v>-648.00000000000728</v>
      </c>
      <c r="T40" s="13">
        <f>K40-E40</f>
        <v>3437.6518925596538</v>
      </c>
      <c r="U40" s="13">
        <f t="shared" si="5"/>
        <v>2053.3333333333285</v>
      </c>
      <c r="V40" s="13">
        <f t="shared" si="6"/>
        <v>2053.3333333333139</v>
      </c>
      <c r="W40" s="69">
        <f>(C40-B40)/B40</f>
        <v>0.12825341032722404</v>
      </c>
      <c r="X40" s="70">
        <f>(D40-C40)/C40</f>
        <v>-1.2962207469495234E-2</v>
      </c>
      <c r="Y40" s="70">
        <f>(E40-D40)/D40</f>
        <v>-1.2174272455708705E-2</v>
      </c>
      <c r="Z40" s="6">
        <f>(K40-E40)/E40</f>
        <v>6.5380701279211362E-2</v>
      </c>
      <c r="AA40" s="6">
        <f t="shared" si="7"/>
        <v>3.6655766882883987E-2</v>
      </c>
      <c r="AB40" s="6">
        <f t="shared" si="8"/>
        <v>3.5359632439130498E-2</v>
      </c>
      <c r="AC40" s="33" t="s">
        <v>36</v>
      </c>
    </row>
    <row r="41" spans="1:29" x14ac:dyDescent="0.35">
      <c r="A41" s="11" t="s">
        <v>37</v>
      </c>
      <c r="B41" s="52">
        <v>651525</v>
      </c>
      <c r="C41" s="53">
        <v>662047</v>
      </c>
      <c r="D41" s="53">
        <v>658466</v>
      </c>
      <c r="E41" s="55">
        <v>674721</v>
      </c>
      <c r="F41" s="2">
        <v>674252.31927834055</v>
      </c>
      <c r="G41" s="1">
        <v>673400.63855668111</v>
      </c>
      <c r="H41" s="1">
        <v>673154.95783502166</v>
      </c>
      <c r="I41" s="1">
        <v>666585</v>
      </c>
      <c r="J41" s="77">
        <v>665742</v>
      </c>
      <c r="K41" s="78">
        <v>654255.69495901873</v>
      </c>
      <c r="L41" s="79">
        <v>650978.86162568524</v>
      </c>
      <c r="M41" s="43">
        <v>647702.02829235222</v>
      </c>
      <c r="N41" s="43">
        <v>644425.19495901873</v>
      </c>
      <c r="O41" s="19">
        <v>641148.36162568524</v>
      </c>
      <c r="P41" s="2"/>
      <c r="Q41" s="62">
        <f>C41-B41</f>
        <v>10522</v>
      </c>
      <c r="R41" s="63">
        <f>D41-C41</f>
        <v>-3581</v>
      </c>
      <c r="S41" s="63">
        <f>E41-D41</f>
        <v>16255</v>
      </c>
      <c r="T41" s="13">
        <f>K41-E41</f>
        <v>-20465.305040981271</v>
      </c>
      <c r="U41" s="13">
        <f t="shared" si="5"/>
        <v>-6553.6666666665114</v>
      </c>
      <c r="V41" s="13">
        <f t="shared" si="6"/>
        <v>-6553.6666666669771</v>
      </c>
      <c r="W41" s="69">
        <f>(C41-B41)/B41</f>
        <v>1.6149802386708108E-2</v>
      </c>
      <c r="X41" s="70">
        <f>(D41-C41)/C41</f>
        <v>-5.4089815375645538E-3</v>
      </c>
      <c r="Y41" s="70">
        <f>(E41-D41)/D41</f>
        <v>2.4686164509632996E-2</v>
      </c>
      <c r="Z41" s="6">
        <f>(K41-E41)/E41</f>
        <v>-3.0331507454164418E-2</v>
      </c>
      <c r="AA41" s="6">
        <f t="shared" si="7"/>
        <v>-1.0016980696021331E-2</v>
      </c>
      <c r="AB41" s="6">
        <f t="shared" si="8"/>
        <v>-1.0118335871118902E-2</v>
      </c>
      <c r="AC41" s="33" t="s">
        <v>37</v>
      </c>
    </row>
    <row r="42" spans="1:29" x14ac:dyDescent="0.35">
      <c r="A42" s="11" t="s">
        <v>38</v>
      </c>
      <c r="B42" s="52">
        <v>15715</v>
      </c>
      <c r="C42" s="53">
        <v>15904</v>
      </c>
      <c r="D42" s="53">
        <v>14564</v>
      </c>
      <c r="E42" s="55">
        <v>13972</v>
      </c>
      <c r="F42" s="2">
        <v>13891.223296399487</v>
      </c>
      <c r="G42" s="1">
        <v>13813.446592798973</v>
      </c>
      <c r="H42" s="1">
        <v>13757.66988919846</v>
      </c>
      <c r="I42" s="1">
        <v>13554.355300000003</v>
      </c>
      <c r="J42" s="77">
        <v>13587</v>
      </c>
      <c r="K42" s="78">
        <v>13155.00139734933</v>
      </c>
      <c r="L42" s="79">
        <v>12713.762311407161</v>
      </c>
      <c r="M42" s="43">
        <v>12289</v>
      </c>
      <c r="N42" s="43">
        <v>11885.561396052446</v>
      </c>
      <c r="O42" s="19">
        <v>11522.721059698981</v>
      </c>
      <c r="P42" s="2"/>
      <c r="Q42" s="62">
        <f>C42-B42</f>
        <v>189</v>
      </c>
      <c r="R42" s="63">
        <f>D42-C42</f>
        <v>-1340</v>
      </c>
      <c r="S42" s="63">
        <f>E42-D42</f>
        <v>-592</v>
      </c>
      <c r="T42" s="13">
        <f>K42-E42</f>
        <v>-816.99860265067036</v>
      </c>
      <c r="U42" s="13">
        <f t="shared" si="5"/>
        <v>-866.00139734932964</v>
      </c>
      <c r="V42" s="13">
        <f t="shared" si="6"/>
        <v>-766.27894030101925</v>
      </c>
      <c r="W42" s="69">
        <f>(C42-B42)/B42</f>
        <v>1.2026726057906459E-2</v>
      </c>
      <c r="X42" s="70">
        <f>(D42-C42)/C42</f>
        <v>-8.4255533199195168E-2</v>
      </c>
      <c r="Y42" s="70">
        <f>(E42-D42)/D42</f>
        <v>-4.0648173578687177E-2</v>
      </c>
      <c r="Z42" s="6">
        <f>(K42-E42)/E42</f>
        <v>-5.8473991028533519E-2</v>
      </c>
      <c r="AA42" s="6">
        <f t="shared" si="7"/>
        <v>-6.5830581935462568E-2</v>
      </c>
      <c r="AB42" s="6">
        <f t="shared" si="8"/>
        <v>-6.2354865351209966E-2</v>
      </c>
      <c r="AC42" s="33" t="s">
        <v>38</v>
      </c>
    </row>
    <row r="43" spans="1:29" x14ac:dyDescent="0.35">
      <c r="A43" s="11" t="s">
        <v>39</v>
      </c>
      <c r="B43" s="52">
        <v>79661</v>
      </c>
      <c r="C43" s="53">
        <v>87966</v>
      </c>
      <c r="D43" s="53">
        <v>92709</v>
      </c>
      <c r="E43" s="55">
        <v>93564</v>
      </c>
      <c r="F43" s="2">
        <v>93490.393945542848</v>
      </c>
      <c r="G43" s="1">
        <v>93493.787891085696</v>
      </c>
      <c r="H43" s="1">
        <v>93547.181836628544</v>
      </c>
      <c r="I43" s="1">
        <v>97298</v>
      </c>
      <c r="J43" s="77">
        <v>97135</v>
      </c>
      <c r="K43" s="78">
        <v>100460.36069383248</v>
      </c>
      <c r="L43" s="79">
        <v>102983.52736049917</v>
      </c>
      <c r="M43" s="43">
        <v>105506.69402716582</v>
      </c>
      <c r="N43" s="43">
        <v>108029.86069383247</v>
      </c>
      <c r="O43" s="19">
        <v>110553.02736049917</v>
      </c>
      <c r="P43" s="2"/>
      <c r="Q43" s="62">
        <f>C43-B43</f>
        <v>8305</v>
      </c>
      <c r="R43" s="63">
        <f>D43-C43</f>
        <v>4743</v>
      </c>
      <c r="S43" s="63">
        <f>E43-D43</f>
        <v>855</v>
      </c>
      <c r="T43" s="13">
        <f>K43-E43</f>
        <v>6896.360693832481</v>
      </c>
      <c r="U43" s="13">
        <f t="shared" si="5"/>
        <v>5046.333333333343</v>
      </c>
      <c r="V43" s="13">
        <f t="shared" si="6"/>
        <v>5046.333333333343</v>
      </c>
      <c r="W43" s="69">
        <f>(C43-B43)/B43</f>
        <v>0.10425427750091011</v>
      </c>
      <c r="X43" s="70">
        <f>(D43-C43)/C43</f>
        <v>5.3918559443421325E-2</v>
      </c>
      <c r="Y43" s="70">
        <f>(E43-D43)/D43</f>
        <v>9.2224055916901269E-3</v>
      </c>
      <c r="Z43" s="6">
        <f>(K43-E43)/E43</f>
        <v>7.370741624804926E-2</v>
      </c>
      <c r="AA43" s="6">
        <f t="shared" si="7"/>
        <v>5.0232084560324998E-2</v>
      </c>
      <c r="AB43" s="6">
        <f t="shared" si="8"/>
        <v>4.7829508637944954E-2</v>
      </c>
      <c r="AC43" s="33" t="s">
        <v>39</v>
      </c>
    </row>
    <row r="44" spans="1:29" x14ac:dyDescent="0.35">
      <c r="A44" s="11" t="s">
        <v>40</v>
      </c>
      <c r="B44" s="52">
        <v>31513</v>
      </c>
      <c r="C44" s="53">
        <v>34803</v>
      </c>
      <c r="D44" s="53">
        <v>34339</v>
      </c>
      <c r="E44" s="55">
        <v>33073</v>
      </c>
      <c r="F44" s="2">
        <v>32814.398797322268</v>
      </c>
      <c r="G44" s="1">
        <v>32565.797594644537</v>
      </c>
      <c r="H44" s="1">
        <v>32380.196391966805</v>
      </c>
      <c r="I44" s="1">
        <v>33651</v>
      </c>
      <c r="J44" s="77">
        <v>33843</v>
      </c>
      <c r="K44" s="78">
        <v>34560.71740501895</v>
      </c>
      <c r="L44" s="79">
        <v>35269.670794745623</v>
      </c>
      <c r="M44" s="43">
        <v>36025.38947207445</v>
      </c>
      <c r="N44" s="43">
        <v>36820.560517208622</v>
      </c>
      <c r="O44" s="19">
        <v>37722.498689500906</v>
      </c>
      <c r="P44" s="2"/>
      <c r="Q44" s="62">
        <f>C44-B44</f>
        <v>3290</v>
      </c>
      <c r="R44" s="63">
        <f>D44-C44</f>
        <v>-464</v>
      </c>
      <c r="S44" s="63">
        <f>E44-D44</f>
        <v>-1266</v>
      </c>
      <c r="T44" s="13">
        <f>K44-E44</f>
        <v>1487.7174050189496</v>
      </c>
      <c r="U44" s="13">
        <f t="shared" si="5"/>
        <v>1464.6720670555005</v>
      </c>
      <c r="V44" s="13">
        <f t="shared" si="6"/>
        <v>1697.1092174264559</v>
      </c>
      <c r="W44" s="69">
        <f>(C44-B44)/B44</f>
        <v>0.10440135816964427</v>
      </c>
      <c r="X44" s="70">
        <f>(D44-C44)/C44</f>
        <v>-1.3332184007125823E-2</v>
      </c>
      <c r="Y44" s="70">
        <f>(E44-D44)/D44</f>
        <v>-3.6867701447333937E-2</v>
      </c>
      <c r="Z44" s="6">
        <f>(K44-E44)/E44</f>
        <v>4.4982838116256453E-2</v>
      </c>
      <c r="AA44" s="6">
        <f t="shared" si="7"/>
        <v>4.2379677767996768E-2</v>
      </c>
      <c r="AB44" s="6">
        <f t="shared" si="8"/>
        <v>4.7108698678802408E-2</v>
      </c>
      <c r="AC44" s="33" t="s">
        <v>40</v>
      </c>
    </row>
    <row r="45" spans="1:29" x14ac:dyDescent="0.35">
      <c r="A45" s="11" t="s">
        <v>41</v>
      </c>
      <c r="B45" s="52">
        <v>87146</v>
      </c>
      <c r="C45" s="53">
        <v>115092</v>
      </c>
      <c r="D45" s="53">
        <v>140247</v>
      </c>
      <c r="E45" s="54">
        <v>174241</v>
      </c>
      <c r="F45" s="2">
        <v>177879.61004202103</v>
      </c>
      <c r="G45" s="1">
        <v>181445.22008404206</v>
      </c>
      <c r="H45" s="1">
        <v>185105.83012606308</v>
      </c>
      <c r="I45" s="1">
        <v>187782</v>
      </c>
      <c r="J45" s="77">
        <v>189881</v>
      </c>
      <c r="K45" s="78">
        <v>205193.3632062448</v>
      </c>
      <c r="L45" s="79">
        <v>220402.16236367522</v>
      </c>
      <c r="M45" s="43">
        <v>234917.213581647</v>
      </c>
      <c r="N45" s="43">
        <v>249550.01538141875</v>
      </c>
      <c r="O45" s="19">
        <v>263464.63283641718</v>
      </c>
      <c r="P45" s="2"/>
      <c r="Q45" s="62">
        <f>C45-B45</f>
        <v>27946</v>
      </c>
      <c r="R45" s="63">
        <f>D45-C45</f>
        <v>25155</v>
      </c>
      <c r="S45" s="63">
        <f>E45-D45</f>
        <v>33994</v>
      </c>
      <c r="T45" s="13">
        <f>K45-E45</f>
        <v>30952.363206244801</v>
      </c>
      <c r="U45" s="13">
        <f t="shared" si="5"/>
        <v>29723.850375402195</v>
      </c>
      <c r="V45" s="13">
        <f t="shared" si="6"/>
        <v>28547.419254770182</v>
      </c>
      <c r="W45" s="69">
        <f>(C45-B45)/B45</f>
        <v>0.32068023776191679</v>
      </c>
      <c r="X45" s="70">
        <f>(D45-C45)/C45</f>
        <v>0.21856427901157335</v>
      </c>
      <c r="Y45" s="70">
        <f>(E45-D45)/D45</f>
        <v>0.24238664641667915</v>
      </c>
      <c r="Z45" s="6">
        <f>(K45-E45)/E45</f>
        <v>0.17764110172832343</v>
      </c>
      <c r="AA45" s="6">
        <f t="shared" si="7"/>
        <v>0.14485775714649229</v>
      </c>
      <c r="AB45" s="6">
        <f t="shared" si="8"/>
        <v>0.1215211896119666</v>
      </c>
      <c r="AC45" s="33" t="s">
        <v>41</v>
      </c>
    </row>
    <row r="46" spans="1:29" x14ac:dyDescent="0.35">
      <c r="A46" s="11" t="s">
        <v>42</v>
      </c>
      <c r="B46" s="52">
        <v>54135</v>
      </c>
      <c r="C46" s="53">
        <v>65676</v>
      </c>
      <c r="D46" s="53">
        <v>82782</v>
      </c>
      <c r="E46" s="55">
        <v>103570.00000000001</v>
      </c>
      <c r="F46" s="2">
        <v>105947.45561262449</v>
      </c>
      <c r="G46" s="1">
        <v>108308.91122524897</v>
      </c>
      <c r="H46" s="1">
        <v>110733.36683787346</v>
      </c>
      <c r="I46" s="1">
        <v>119051</v>
      </c>
      <c r="J46" s="77">
        <v>122928</v>
      </c>
      <c r="K46" s="78">
        <v>146152.47365460428</v>
      </c>
      <c r="L46" s="79">
        <v>162522.47365460425</v>
      </c>
      <c r="M46" s="43">
        <v>178892.47365460423</v>
      </c>
      <c r="N46" s="43">
        <v>195262.4736546042</v>
      </c>
      <c r="O46" s="19">
        <v>211632.47365460423</v>
      </c>
      <c r="P46" s="2"/>
      <c r="Q46" s="62">
        <f>C46-B46</f>
        <v>11541</v>
      </c>
      <c r="R46" s="63">
        <f>D46-C46</f>
        <v>17106</v>
      </c>
      <c r="S46" s="63">
        <f>E46-D46</f>
        <v>20788.000000000015</v>
      </c>
      <c r="T46" s="13">
        <f>K46-E46</f>
        <v>42582.47365460427</v>
      </c>
      <c r="U46" s="13">
        <f t="shared" si="5"/>
        <v>32739.999999999942</v>
      </c>
      <c r="V46" s="13">
        <f t="shared" si="6"/>
        <v>32740</v>
      </c>
      <c r="W46" s="69">
        <f>(C46-B46)/B46</f>
        <v>0.21318924909947354</v>
      </c>
      <c r="X46" s="70">
        <f>(D46-C46)/C46</f>
        <v>0.26046044217065595</v>
      </c>
      <c r="Y46" s="70">
        <f>(E46-D46)/D46</f>
        <v>0.25111739266990424</v>
      </c>
      <c r="Z46" s="6">
        <f>(K46-E46)/E46</f>
        <v>0.41114679593129538</v>
      </c>
      <c r="AA46" s="6">
        <f t="shared" si="7"/>
        <v>0.22401262997007457</v>
      </c>
      <c r="AB46" s="6">
        <f t="shared" si="8"/>
        <v>0.18301496609193629</v>
      </c>
      <c r="AC46" s="33" t="s">
        <v>42</v>
      </c>
    </row>
    <row r="47" spans="1:29" x14ac:dyDescent="0.35">
      <c r="A47" s="11" t="s">
        <v>43</v>
      </c>
      <c r="B47" s="52">
        <v>12658</v>
      </c>
      <c r="C47" s="53">
        <v>13473</v>
      </c>
      <c r="D47" s="53">
        <v>11299</v>
      </c>
      <c r="E47" s="54">
        <v>10311</v>
      </c>
      <c r="F47" s="2">
        <v>10157.152696281859</v>
      </c>
      <c r="G47" s="1">
        <v>10020.305392563718</v>
      </c>
      <c r="H47" s="1">
        <v>9852.4580888455766</v>
      </c>
      <c r="I47" s="1">
        <v>9517</v>
      </c>
      <c r="J47" s="77">
        <v>9359</v>
      </c>
      <c r="K47" s="78">
        <v>8444.2414123809267</v>
      </c>
      <c r="L47" s="79">
        <v>7540.6040225433962</v>
      </c>
      <c r="M47" s="43">
        <v>6652.9879479428155</v>
      </c>
      <c r="N47" s="43">
        <v>5816.0546214816177</v>
      </c>
      <c r="O47" s="19">
        <v>5077.5261641628531</v>
      </c>
      <c r="P47" s="2"/>
      <c r="Q47" s="62">
        <f>C47-B47</f>
        <v>815</v>
      </c>
      <c r="R47" s="63">
        <f>D47-C47</f>
        <v>-2174</v>
      </c>
      <c r="S47" s="63">
        <f>E47-D47</f>
        <v>-988</v>
      </c>
      <c r="T47" s="13">
        <f>K47-E47</f>
        <v>-1866.7585876190733</v>
      </c>
      <c r="U47" s="13">
        <f t="shared" si="5"/>
        <v>-1791.2534644381112</v>
      </c>
      <c r="V47" s="13">
        <f t="shared" si="6"/>
        <v>-1575.4617837799624</v>
      </c>
      <c r="W47" s="69">
        <f>(C47-B47)/B47</f>
        <v>6.4386158950861111E-2</v>
      </c>
      <c r="X47" s="70">
        <f>(D47-C47)/C47</f>
        <v>-0.16135975655013732</v>
      </c>
      <c r="Y47" s="70">
        <f>(E47-D47)/D47</f>
        <v>-8.7441366492609959E-2</v>
      </c>
      <c r="Z47" s="6">
        <f>(K47-E47)/E47</f>
        <v>-0.18104534842586298</v>
      </c>
      <c r="AA47" s="6">
        <f t="shared" si="7"/>
        <v>-0.21212722102091724</v>
      </c>
      <c r="AB47" s="6">
        <f t="shared" si="8"/>
        <v>-0.2368051462151099</v>
      </c>
      <c r="AC47" s="33" t="s">
        <v>43</v>
      </c>
    </row>
    <row r="48" spans="1:29" x14ac:dyDescent="0.35">
      <c r="A48" s="11" t="s">
        <v>44</v>
      </c>
      <c r="B48" s="52">
        <v>24928</v>
      </c>
      <c r="C48" s="53">
        <v>24105</v>
      </c>
      <c r="D48" s="53">
        <v>21452</v>
      </c>
      <c r="E48" s="54">
        <v>19532</v>
      </c>
      <c r="F48" s="2">
        <v>19257.784855188205</v>
      </c>
      <c r="G48" s="1">
        <v>19051.569710376411</v>
      </c>
      <c r="H48" s="1">
        <v>18790.354565564616</v>
      </c>
      <c r="I48" s="1">
        <v>18275</v>
      </c>
      <c r="J48" s="77">
        <v>18132</v>
      </c>
      <c r="K48" s="78">
        <v>16412.52623159748</v>
      </c>
      <c r="L48" s="79">
        <v>14531.721152142078</v>
      </c>
      <c r="M48" s="43">
        <v>12889.085776857977</v>
      </c>
      <c r="N48" s="43">
        <v>11371.462097257332</v>
      </c>
      <c r="O48" s="19">
        <v>9920.7793342080586</v>
      </c>
      <c r="P48" s="2"/>
      <c r="Q48" s="62">
        <f>C48-B48</f>
        <v>-823</v>
      </c>
      <c r="R48" s="63">
        <f>D48-C48</f>
        <v>-2653</v>
      </c>
      <c r="S48" s="63">
        <f>E48-D48</f>
        <v>-1920</v>
      </c>
      <c r="T48" s="13">
        <f>K48-E48</f>
        <v>-3119.4737684025204</v>
      </c>
      <c r="U48" s="13">
        <f t="shared" si="5"/>
        <v>-3523.4404547395025</v>
      </c>
      <c r="V48" s="13">
        <f t="shared" si="6"/>
        <v>-2968.3064426499186</v>
      </c>
      <c r="W48" s="69">
        <f>(C48-B48)/B48</f>
        <v>-3.3015083440308089E-2</v>
      </c>
      <c r="X48" s="70">
        <f>(D48-C48)/C48</f>
        <v>-0.11006015349512549</v>
      </c>
      <c r="Y48" s="70">
        <f>(E48-D48)/D48</f>
        <v>-8.9502144322207725E-2</v>
      </c>
      <c r="Z48" s="6">
        <f>(K48-E48)/E48</f>
        <v>-0.1597109240427258</v>
      </c>
      <c r="AA48" s="6">
        <f t="shared" si="7"/>
        <v>-0.21467995877174331</v>
      </c>
      <c r="AB48" s="6">
        <f t="shared" si="8"/>
        <v>-0.23029611983647721</v>
      </c>
      <c r="AC48" s="33" t="s">
        <v>44</v>
      </c>
    </row>
    <row r="49" spans="1:29" x14ac:dyDescent="0.35">
      <c r="A49" s="11" t="s">
        <v>45</v>
      </c>
      <c r="B49" s="52">
        <v>238912</v>
      </c>
      <c r="C49" s="53">
        <f>276700+763</f>
        <v>277463</v>
      </c>
      <c r="D49" s="53">
        <v>334811</v>
      </c>
      <c r="E49" s="55">
        <v>388153</v>
      </c>
      <c r="F49" s="2">
        <v>393528.60995514755</v>
      </c>
      <c r="G49" s="1">
        <v>398568.2199102951</v>
      </c>
      <c r="H49" s="1">
        <v>403958.82986544265</v>
      </c>
      <c r="I49" s="1">
        <v>423071</v>
      </c>
      <c r="J49" s="77">
        <v>433516</v>
      </c>
      <c r="K49" s="78">
        <v>484031.62650570687</v>
      </c>
      <c r="L49" s="79">
        <v>523163.95983904018</v>
      </c>
      <c r="M49" s="43">
        <v>562296.29317237379</v>
      </c>
      <c r="N49" s="43">
        <v>601428.62650570704</v>
      </c>
      <c r="O49" s="19">
        <v>640560.95983904018</v>
      </c>
      <c r="P49" s="2"/>
      <c r="Q49" s="62">
        <f>C49-B49</f>
        <v>38551</v>
      </c>
      <c r="R49" s="63">
        <f>D49-C49</f>
        <v>57348</v>
      </c>
      <c r="S49" s="63">
        <f>E49-D49</f>
        <v>53342</v>
      </c>
      <c r="T49" s="13">
        <f>K49-E49</f>
        <v>95878.626505706867</v>
      </c>
      <c r="U49" s="13">
        <f t="shared" si="5"/>
        <v>78264.666666666919</v>
      </c>
      <c r="V49" s="13">
        <f t="shared" si="6"/>
        <v>78264.666666666395</v>
      </c>
      <c r="W49" s="69">
        <f>(C49-B49)/B49</f>
        <v>0.16136066836324672</v>
      </c>
      <c r="X49" s="70">
        <f>(D49-C49)/C49</f>
        <v>0.20668701772848994</v>
      </c>
      <c r="Y49" s="70">
        <f>(E49-D49)/D49</f>
        <v>0.15931973561203186</v>
      </c>
      <c r="Z49" s="6">
        <f>(K49-E49)/E49</f>
        <v>0.24701245773111857</v>
      </c>
      <c r="AA49" s="6">
        <f t="shared" si="7"/>
        <v>0.16169329105965796</v>
      </c>
      <c r="AB49" s="6">
        <f t="shared" si="8"/>
        <v>0.13918759134105496</v>
      </c>
      <c r="AC49" s="33" t="s">
        <v>45</v>
      </c>
    </row>
    <row r="50" spans="1:29" x14ac:dyDescent="0.35">
      <c r="A50" s="11" t="s">
        <v>46</v>
      </c>
      <c r="B50" s="52">
        <v>23084</v>
      </c>
      <c r="C50" s="53">
        <v>22539</v>
      </c>
      <c r="D50" s="53">
        <v>21027</v>
      </c>
      <c r="E50" s="55">
        <v>19323</v>
      </c>
      <c r="F50" s="2">
        <v>19093.982043482662</v>
      </c>
      <c r="G50" s="1">
        <v>18843.964086965323</v>
      </c>
      <c r="H50" s="1">
        <v>18647.946130447985</v>
      </c>
      <c r="I50" s="1">
        <v>18466.305999999997</v>
      </c>
      <c r="J50" s="77">
        <v>18311</v>
      </c>
      <c r="K50" s="78">
        <v>17298.447744816956</v>
      </c>
      <c r="L50" s="79">
        <v>16289.134522005133</v>
      </c>
      <c r="M50" s="43">
        <v>15252.83825596068</v>
      </c>
      <c r="N50" s="43">
        <v>14260.270132789825</v>
      </c>
      <c r="O50" s="19">
        <v>13346.087531835299</v>
      </c>
      <c r="P50" s="2"/>
      <c r="Q50" s="62">
        <f>C50-B50</f>
        <v>-545</v>
      </c>
      <c r="R50" s="63">
        <f>D50-C50</f>
        <v>-1512</v>
      </c>
      <c r="S50" s="63">
        <f>E50-D50</f>
        <v>-1704</v>
      </c>
      <c r="T50" s="13">
        <f>K50-E50</f>
        <v>-2024.5522551830436</v>
      </c>
      <c r="U50" s="13">
        <f t="shared" si="5"/>
        <v>-2045.6094888562766</v>
      </c>
      <c r="V50" s="13">
        <f t="shared" si="6"/>
        <v>-1906.7507241253807</v>
      </c>
      <c r="W50" s="69">
        <f>(C50-B50)/B50</f>
        <v>-2.3609426442557615E-2</v>
      </c>
      <c r="X50" s="70">
        <f>(D50-C50)/C50</f>
        <v>-6.7083721549314523E-2</v>
      </c>
      <c r="Y50" s="70">
        <f>(E50-D50)/D50</f>
        <v>-8.1038664574118985E-2</v>
      </c>
      <c r="Z50" s="6">
        <f>(K50-E50)/E50</f>
        <v>-0.10477422010987132</v>
      </c>
      <c r="AA50" s="6">
        <f t="shared" si="7"/>
        <v>-0.11825393347615204</v>
      </c>
      <c r="AB50" s="6">
        <f t="shared" si="8"/>
        <v>-0.12500956819497111</v>
      </c>
      <c r="AC50" s="33" t="s">
        <v>46</v>
      </c>
    </row>
    <row r="51" spans="1:29" x14ac:dyDescent="0.35">
      <c r="A51" s="11" t="s">
        <v>47</v>
      </c>
      <c r="B51" s="52">
        <v>29830</v>
      </c>
      <c r="C51" s="53">
        <v>31214</v>
      </c>
      <c r="D51" s="53">
        <v>30776</v>
      </c>
      <c r="E51" s="55">
        <v>29341.000000000004</v>
      </c>
      <c r="F51" s="2">
        <v>29130.65554356854</v>
      </c>
      <c r="G51" s="1">
        <v>28936.311087137081</v>
      </c>
      <c r="H51" s="1">
        <v>28823.966630705621</v>
      </c>
      <c r="I51" s="1">
        <v>29358</v>
      </c>
      <c r="J51" s="77">
        <v>29097</v>
      </c>
      <c r="K51" s="78">
        <v>28790.777072632245</v>
      </c>
      <c r="L51" s="79">
        <v>28424.574605493508</v>
      </c>
      <c r="M51" s="43">
        <v>28066.459531852561</v>
      </c>
      <c r="N51" s="43">
        <v>27720.631400604012</v>
      </c>
      <c r="O51" s="19">
        <v>27398.786971910078</v>
      </c>
      <c r="P51" s="2"/>
      <c r="Q51" s="62">
        <f>C51-B51</f>
        <v>1384</v>
      </c>
      <c r="R51" s="63">
        <f>D51-C51</f>
        <v>-438</v>
      </c>
      <c r="S51" s="63">
        <f>E51-D51</f>
        <v>-1434.9999999999964</v>
      </c>
      <c r="T51" s="13">
        <f>K51-E51</f>
        <v>-550.22292736775853</v>
      </c>
      <c r="U51" s="13">
        <f t="shared" si="5"/>
        <v>-724.31754077968435</v>
      </c>
      <c r="V51" s="13">
        <f t="shared" si="6"/>
        <v>-667.67255994248262</v>
      </c>
      <c r="W51" s="69">
        <f>(C51-B51)/B51</f>
        <v>4.6396245390546431E-2</v>
      </c>
      <c r="X51" s="70">
        <f>(D51-C51)/C51</f>
        <v>-1.4032165054142372E-2</v>
      </c>
      <c r="Y51" s="70">
        <f>(E51-D51)/D51</f>
        <v>-4.6627242006758392E-2</v>
      </c>
      <c r="Z51" s="6">
        <f>(K51-E51)/E51</f>
        <v>-1.8752698523150486E-2</v>
      </c>
      <c r="AA51" s="6">
        <f t="shared" si="7"/>
        <v>-2.5157971212531167E-2</v>
      </c>
      <c r="AB51" s="6">
        <f t="shared" si="8"/>
        <v>-2.3788984114107535E-2</v>
      </c>
      <c r="AC51" s="33" t="s">
        <v>47</v>
      </c>
    </row>
    <row r="52" spans="1:29" x14ac:dyDescent="0.35">
      <c r="A52" s="11" t="s">
        <v>48</v>
      </c>
      <c r="B52" s="52">
        <v>70832</v>
      </c>
      <c r="C52" s="53">
        <v>82231</v>
      </c>
      <c r="D52" s="53">
        <v>93019</v>
      </c>
      <c r="E52" s="55">
        <v>97612</v>
      </c>
      <c r="F52" s="2">
        <v>97965.562382959557</v>
      </c>
      <c r="G52" s="1">
        <v>98332.124765919114</v>
      </c>
      <c r="H52" s="1">
        <v>98838.687148878671</v>
      </c>
      <c r="I52" s="1">
        <v>102860</v>
      </c>
      <c r="J52" s="77">
        <v>103537</v>
      </c>
      <c r="K52" s="78">
        <v>109813.33876218475</v>
      </c>
      <c r="L52" s="79">
        <v>114528.83876218477</v>
      </c>
      <c r="M52" s="43">
        <v>119244.33876218475</v>
      </c>
      <c r="N52" s="43">
        <v>123959.83876218474</v>
      </c>
      <c r="O52" s="19">
        <v>128675.33876218478</v>
      </c>
      <c r="P52" s="2"/>
      <c r="Q52" s="62">
        <f>C52-B52</f>
        <v>11399</v>
      </c>
      <c r="R52" s="63">
        <f>D52-C52</f>
        <v>10788</v>
      </c>
      <c r="S52" s="63">
        <f>E52-D52</f>
        <v>4593</v>
      </c>
      <c r="T52" s="13">
        <f>K52-E52</f>
        <v>12201.338762184751</v>
      </c>
      <c r="U52" s="13">
        <f t="shared" si="5"/>
        <v>9431</v>
      </c>
      <c r="V52" s="13">
        <f t="shared" si="6"/>
        <v>9431.0000000000291</v>
      </c>
      <c r="W52" s="69">
        <f>(C52-B52)/B52</f>
        <v>0.16093008809577591</v>
      </c>
      <c r="X52" s="70">
        <f>(D52-C52)/C52</f>
        <v>0.13119139983704442</v>
      </c>
      <c r="Y52" s="70">
        <f>(E52-D52)/D52</f>
        <v>4.9377008998161664E-2</v>
      </c>
      <c r="Z52" s="6">
        <f>(K52-E52)/E52</f>
        <v>0.12499834817629749</v>
      </c>
      <c r="AA52" s="6">
        <f t="shared" si="7"/>
        <v>8.5882098716842339E-2</v>
      </c>
      <c r="AB52" s="6">
        <f t="shared" si="8"/>
        <v>7.9089708558900795E-2</v>
      </c>
      <c r="AC52" s="33" t="s">
        <v>48</v>
      </c>
    </row>
    <row r="53" spans="1:29" x14ac:dyDescent="0.35">
      <c r="A53" s="11" t="s">
        <v>49</v>
      </c>
      <c r="B53" s="52">
        <v>378643</v>
      </c>
      <c r="C53" s="53">
        <v>399843</v>
      </c>
      <c r="D53" s="53">
        <v>412992</v>
      </c>
      <c r="E53" s="55">
        <v>414809</v>
      </c>
      <c r="F53" s="2">
        <v>413928.86920090922</v>
      </c>
      <c r="G53" s="1">
        <v>412226.73840181844</v>
      </c>
      <c r="H53" s="1">
        <v>411276.60760272801</v>
      </c>
      <c r="I53" s="1">
        <v>412193</v>
      </c>
      <c r="J53" s="77">
        <v>411658</v>
      </c>
      <c r="K53" s="78">
        <v>406310.46002020338</v>
      </c>
      <c r="L53" s="79">
        <v>398847.64956719533</v>
      </c>
      <c r="M53" s="43">
        <v>389867.09189949243</v>
      </c>
      <c r="N53" s="43">
        <v>379859.89407489862</v>
      </c>
      <c r="O53" s="19">
        <v>369751.01619809057</v>
      </c>
      <c r="P53" s="2"/>
      <c r="Q53" s="62">
        <f>C53-B53</f>
        <v>21200</v>
      </c>
      <c r="R53" s="63">
        <f>D53-C53</f>
        <v>13149</v>
      </c>
      <c r="S53" s="63">
        <f>E53-D53</f>
        <v>1817</v>
      </c>
      <c r="T53" s="13">
        <f>K53-E53</f>
        <v>-8498.5399797966238</v>
      </c>
      <c r="U53" s="13">
        <f t="shared" si="5"/>
        <v>-16443.368120710948</v>
      </c>
      <c r="V53" s="13">
        <f t="shared" si="6"/>
        <v>-20116.07570140186</v>
      </c>
      <c r="W53" s="69">
        <f>(C53-B53)/B53</f>
        <v>5.5989414831384705E-2</v>
      </c>
      <c r="X53" s="70">
        <f>(D53-C53)/C53</f>
        <v>3.2885407522452566E-2</v>
      </c>
      <c r="Y53" s="70">
        <f>(E53-D53)/D53</f>
        <v>4.3996009607934292E-3</v>
      </c>
      <c r="Z53" s="6">
        <f>(K53-E53)/E53</f>
        <v>-2.048783893260904E-2</v>
      </c>
      <c r="AA53" s="6">
        <f t="shared" si="7"/>
        <v>-4.04699601381006E-2</v>
      </c>
      <c r="AB53" s="6">
        <f t="shared" si="8"/>
        <v>-5.1597265117692408E-2</v>
      </c>
      <c r="AC53" s="33" t="s">
        <v>49</v>
      </c>
    </row>
    <row r="54" spans="1:29" x14ac:dyDescent="0.35">
      <c r="A54" s="11" t="s">
        <v>50</v>
      </c>
      <c r="B54" s="52">
        <v>23968</v>
      </c>
      <c r="C54" s="53">
        <v>24324</v>
      </c>
      <c r="D54" s="53">
        <v>23068</v>
      </c>
      <c r="E54" s="55">
        <v>19772</v>
      </c>
      <c r="F54" s="2">
        <v>19393.455338401796</v>
      </c>
      <c r="G54" s="1">
        <v>19010.910676803593</v>
      </c>
      <c r="H54" s="1">
        <v>18689.366015205389</v>
      </c>
      <c r="I54" s="1">
        <v>19089</v>
      </c>
      <c r="J54" s="77">
        <v>18965</v>
      </c>
      <c r="K54" s="78">
        <v>18094.724112111111</v>
      </c>
      <c r="L54" s="79">
        <v>17163.109042163236</v>
      </c>
      <c r="M54" s="43">
        <v>16183.610913985562</v>
      </c>
      <c r="N54" s="43">
        <v>15192.93275918056</v>
      </c>
      <c r="O54" s="19">
        <v>14261.350676056227</v>
      </c>
      <c r="P54" s="2"/>
      <c r="Q54" s="62">
        <f>C54-B54</f>
        <v>356</v>
      </c>
      <c r="R54" s="63">
        <f>D54-C54</f>
        <v>-1256</v>
      </c>
      <c r="S54" s="63">
        <f>E54-D54</f>
        <v>-3296</v>
      </c>
      <c r="T54" s="13">
        <f>K54-E54</f>
        <v>-1677.275887888889</v>
      </c>
      <c r="U54" s="13">
        <f t="shared" si="5"/>
        <v>-1911.1131981255494</v>
      </c>
      <c r="V54" s="13">
        <f t="shared" si="6"/>
        <v>-1922.2602379293348</v>
      </c>
      <c r="W54" s="69">
        <f>(C54-B54)/B54</f>
        <v>1.4853137516688918E-2</v>
      </c>
      <c r="X54" s="70">
        <f>(D54-C54)/C54</f>
        <v>-5.1636244038809405E-2</v>
      </c>
      <c r="Y54" s="70">
        <f>(E54-D54)/D54</f>
        <v>-0.14288191434021155</v>
      </c>
      <c r="Z54" s="6">
        <f>(K54-E54)/E54</f>
        <v>-8.4830866269921548E-2</v>
      </c>
      <c r="AA54" s="6">
        <f t="shared" si="7"/>
        <v>-0.10561715040719567</v>
      </c>
      <c r="AB54" s="6">
        <f t="shared" si="8"/>
        <v>-0.11877820395868235</v>
      </c>
      <c r="AC54" s="33" t="s">
        <v>50</v>
      </c>
    </row>
    <row r="55" spans="1:29" x14ac:dyDescent="0.35">
      <c r="A55" s="11" t="s">
        <v>51</v>
      </c>
      <c r="B55" s="52">
        <v>209085</v>
      </c>
      <c r="C55" s="53">
        <v>223510</v>
      </c>
      <c r="D55" s="53">
        <v>229363</v>
      </c>
      <c r="E55" s="54">
        <v>228953.99999999997</v>
      </c>
      <c r="F55" s="2">
        <v>228256.8146355584</v>
      </c>
      <c r="G55" s="1">
        <v>227471.62927111681</v>
      </c>
      <c r="H55" s="1">
        <v>226864.44390667521</v>
      </c>
      <c r="I55" s="1">
        <v>225889</v>
      </c>
      <c r="J55" s="77">
        <v>225891</v>
      </c>
      <c r="K55" s="78">
        <v>221589.48315742446</v>
      </c>
      <c r="L55" s="79">
        <v>216335.525336452</v>
      </c>
      <c r="M55" s="43">
        <v>210302.98985856635</v>
      </c>
      <c r="N55" s="43">
        <v>204028.13935916591</v>
      </c>
      <c r="O55" s="19">
        <v>198042.20089263422</v>
      </c>
      <c r="P55" s="2"/>
      <c r="Q55" s="62">
        <f>C55-B55</f>
        <v>14425</v>
      </c>
      <c r="R55" s="63">
        <f>D55-C55</f>
        <v>5853</v>
      </c>
      <c r="S55" s="63">
        <f>E55-D55</f>
        <v>-409.0000000000291</v>
      </c>
      <c r="T55" s="13">
        <f>K55-E55</f>
        <v>-7364.516842575511</v>
      </c>
      <c r="U55" s="13">
        <f t="shared" si="5"/>
        <v>-11286.493298858113</v>
      </c>
      <c r="V55" s="13">
        <f t="shared" si="6"/>
        <v>-12260.788965932123</v>
      </c>
      <c r="W55" s="69">
        <f>(C55-B55)/B55</f>
        <v>6.8991080182700809E-2</v>
      </c>
      <c r="X55" s="70">
        <f>(D55-C55)/C55</f>
        <v>2.618674779651917E-2</v>
      </c>
      <c r="Y55" s="70">
        <f>(E55-D55)/D55</f>
        <v>-1.7831995570341734E-3</v>
      </c>
      <c r="Z55" s="6">
        <f>(K55-E55)/E55</f>
        <v>-3.2165923471856844E-2</v>
      </c>
      <c r="AA55" s="6">
        <f t="shared" si="7"/>
        <v>-5.0934246237849728E-2</v>
      </c>
      <c r="AB55" s="6">
        <f t="shared" si="8"/>
        <v>-5.8300592750382622E-2</v>
      </c>
      <c r="AC55" s="33" t="s">
        <v>51</v>
      </c>
    </row>
    <row r="56" spans="1:29" x14ac:dyDescent="0.35">
      <c r="A56" s="11" t="s">
        <v>52</v>
      </c>
      <c r="B56" s="52">
        <v>100043</v>
      </c>
      <c r="C56" s="53">
        <v>111064</v>
      </c>
      <c r="D56" s="53">
        <v>119490</v>
      </c>
      <c r="E56" s="55">
        <v>123421</v>
      </c>
      <c r="F56" s="2">
        <v>123442.6714603866</v>
      </c>
      <c r="G56" s="1">
        <v>123445.3429207732</v>
      </c>
      <c r="H56" s="1">
        <v>123611.0143811598</v>
      </c>
      <c r="I56" s="1">
        <v>126248</v>
      </c>
      <c r="J56" s="77">
        <v>126483</v>
      </c>
      <c r="K56" s="78">
        <v>129310.25540631614</v>
      </c>
      <c r="L56" s="79">
        <v>131919.65777079784</v>
      </c>
      <c r="M56" s="43">
        <v>134466.2820769441</v>
      </c>
      <c r="N56" s="43">
        <v>136998.35395284128</v>
      </c>
      <c r="O56" s="19">
        <v>139726.60346151533</v>
      </c>
      <c r="P56" s="2"/>
      <c r="Q56" s="62">
        <f>C56-B56</f>
        <v>11021</v>
      </c>
      <c r="R56" s="63">
        <f>D56-C56</f>
        <v>8426</v>
      </c>
      <c r="S56" s="63">
        <f>E56-D56</f>
        <v>3931</v>
      </c>
      <c r="T56" s="13">
        <f>K56-E56</f>
        <v>5889.2554063161369</v>
      </c>
      <c r="U56" s="13">
        <f t="shared" si="5"/>
        <v>5156.0266706279654</v>
      </c>
      <c r="V56" s="13">
        <f t="shared" si="6"/>
        <v>5260.3213845712307</v>
      </c>
      <c r="W56" s="69">
        <f>(C56-B56)/B56</f>
        <v>0.1101626300690703</v>
      </c>
      <c r="X56" s="70">
        <f>(D56-C56)/C56</f>
        <v>7.5866167254916086E-2</v>
      </c>
      <c r="Y56" s="70">
        <f>(E56-D56)/D56</f>
        <v>3.2898150472842919E-2</v>
      </c>
      <c r="Z56" s="6">
        <f>(K56-E56)/E56</f>
        <v>4.7716801892029211E-2</v>
      </c>
      <c r="AA56" s="6">
        <f t="shared" si="7"/>
        <v>3.9873300492886662E-2</v>
      </c>
      <c r="AB56" s="6">
        <f t="shared" si="8"/>
        <v>3.9120003195754136E-2</v>
      </c>
      <c r="AC56" s="33" t="s">
        <v>52</v>
      </c>
    </row>
    <row r="57" spans="1:29" x14ac:dyDescent="0.35">
      <c r="A57" s="11" t="s">
        <v>53</v>
      </c>
      <c r="B57" s="52">
        <v>12759</v>
      </c>
      <c r="C57" s="53">
        <v>11861</v>
      </c>
      <c r="D57" s="53">
        <v>10591</v>
      </c>
      <c r="E57" s="54">
        <v>8511</v>
      </c>
      <c r="F57" s="2">
        <v>8299.5224681919026</v>
      </c>
      <c r="G57" s="1">
        <v>8069.0449363838052</v>
      </c>
      <c r="H57" s="1">
        <v>7889.5674045757078</v>
      </c>
      <c r="I57" s="1">
        <v>7626</v>
      </c>
      <c r="J57" s="77">
        <v>7425</v>
      </c>
      <c r="K57" s="78">
        <v>6471.3941000093255</v>
      </c>
      <c r="L57" s="79">
        <v>5640.6152394837936</v>
      </c>
      <c r="M57" s="43">
        <v>4866.6082540794469</v>
      </c>
      <c r="N57" s="43">
        <v>4163.7652857322646</v>
      </c>
      <c r="O57" s="19">
        <v>3551.3237610184283</v>
      </c>
      <c r="P57" s="2"/>
      <c r="Q57" s="62">
        <f>C57-B57</f>
        <v>-898</v>
      </c>
      <c r="R57" s="63">
        <f>D57-C57</f>
        <v>-1270</v>
      </c>
      <c r="S57" s="63">
        <f>E57-D57</f>
        <v>-2080</v>
      </c>
      <c r="T57" s="13">
        <f>K57-E57</f>
        <v>-2039.6058999906745</v>
      </c>
      <c r="U57" s="13">
        <f t="shared" si="5"/>
        <v>-1604.7858459298786</v>
      </c>
      <c r="V57" s="13">
        <f t="shared" si="6"/>
        <v>-1315.2844930610186</v>
      </c>
      <c r="W57" s="69">
        <f>(C57-B57)/B57</f>
        <v>-7.0381691355121873E-2</v>
      </c>
      <c r="X57" s="70">
        <f>(D57-C57)/C57</f>
        <v>-0.10707360256302166</v>
      </c>
      <c r="Y57" s="70">
        <f>(E57-D57)/D57</f>
        <v>-0.19639316400717591</v>
      </c>
      <c r="Z57" s="6">
        <f>(K57-E57)/E57</f>
        <v>-0.23964350839979726</v>
      </c>
      <c r="AA57" s="6">
        <f t="shared" si="7"/>
        <v>-0.24798147371793755</v>
      </c>
      <c r="AB57" s="6">
        <f t="shared" si="8"/>
        <v>-0.27026718083553941</v>
      </c>
      <c r="AC57" s="33" t="s">
        <v>53</v>
      </c>
    </row>
    <row r="58" spans="1:29" x14ac:dyDescent="0.35">
      <c r="A58" s="11" t="s">
        <v>54</v>
      </c>
      <c r="B58" s="52">
        <v>20699</v>
      </c>
      <c r="C58" s="53">
        <v>20949</v>
      </c>
      <c r="D58" s="53">
        <v>19746</v>
      </c>
      <c r="E58" s="55">
        <v>19123.000000000004</v>
      </c>
      <c r="F58" s="2">
        <v>18963.127639000715</v>
      </c>
      <c r="G58" s="1">
        <v>18790.25527800143</v>
      </c>
      <c r="H58" s="1">
        <v>18715.382917002145</v>
      </c>
      <c r="I58" s="1">
        <v>18467.1531</v>
      </c>
      <c r="J58" s="77">
        <v>18221</v>
      </c>
      <c r="K58" s="78">
        <v>17307.476687594273</v>
      </c>
      <c r="L58" s="79">
        <v>16374</v>
      </c>
      <c r="M58" s="43">
        <v>15467</v>
      </c>
      <c r="N58" s="43">
        <v>14608.407548827812</v>
      </c>
      <c r="O58" s="19">
        <v>13796</v>
      </c>
      <c r="P58" s="2"/>
      <c r="Q58" s="62">
        <f>C58-B58</f>
        <v>250</v>
      </c>
      <c r="R58" s="63">
        <f>D58-C58</f>
        <v>-1203</v>
      </c>
      <c r="S58" s="63">
        <f>E58-D58</f>
        <v>-622.99999999999636</v>
      </c>
      <c r="T58" s="13">
        <f>K58-E58</f>
        <v>-1815.5233124057304</v>
      </c>
      <c r="U58" s="13">
        <f t="shared" si="5"/>
        <v>-1840.4766875942732</v>
      </c>
      <c r="V58" s="13">
        <f t="shared" si="6"/>
        <v>-1671</v>
      </c>
      <c r="W58" s="69">
        <f>(C58-B58)/B58</f>
        <v>1.2077878158365139E-2</v>
      </c>
      <c r="X58" s="70">
        <f>(D58-C58)/C58</f>
        <v>-5.7425175426034654E-2</v>
      </c>
      <c r="Y58" s="70">
        <f>(E58-D58)/D58</f>
        <v>-3.1550693811404656E-2</v>
      </c>
      <c r="Z58" s="6">
        <f>(K58-E58)/E58</f>
        <v>-9.4939251812253836E-2</v>
      </c>
      <c r="AA58" s="6">
        <f t="shared" si="7"/>
        <v>-0.10633997784977506</v>
      </c>
      <c r="AB58" s="6">
        <f t="shared" si="8"/>
        <v>-0.10803646473136355</v>
      </c>
      <c r="AC58" s="33" t="s">
        <v>54</v>
      </c>
    </row>
    <row r="59" spans="1:29" x14ac:dyDescent="0.35">
      <c r="A59" s="11" t="s">
        <v>55</v>
      </c>
      <c r="B59" s="52">
        <v>27595</v>
      </c>
      <c r="C59" s="53">
        <v>29605</v>
      </c>
      <c r="D59" s="53">
        <v>32899</v>
      </c>
      <c r="E59" s="55">
        <v>33009</v>
      </c>
      <c r="F59" s="2">
        <v>32919.854838304702</v>
      </c>
      <c r="G59" s="1">
        <v>32787.709676609404</v>
      </c>
      <c r="H59" s="1">
        <v>32749.564514914106</v>
      </c>
      <c r="I59" s="1">
        <v>33199</v>
      </c>
      <c r="J59" s="77">
        <v>33688</v>
      </c>
      <c r="K59" s="78">
        <v>33669.357069046731</v>
      </c>
      <c r="L59" s="79">
        <v>33795.453003217175</v>
      </c>
      <c r="M59" s="43">
        <v>34372.108578056643</v>
      </c>
      <c r="N59" s="43">
        <v>34781.01628350791</v>
      </c>
      <c r="O59" s="19">
        <v>35048.105123412235</v>
      </c>
      <c r="P59" s="2"/>
      <c r="Q59" s="62">
        <f>C59-B59</f>
        <v>2010</v>
      </c>
      <c r="R59" s="63">
        <f>D59-C59</f>
        <v>3294</v>
      </c>
      <c r="S59" s="63">
        <f>E59-D59</f>
        <v>110</v>
      </c>
      <c r="T59" s="13">
        <f>K59-E59</f>
        <v>660.35706904673134</v>
      </c>
      <c r="U59" s="13">
        <f t="shared" si="5"/>
        <v>702.75150900991139</v>
      </c>
      <c r="V59" s="13">
        <f t="shared" si="6"/>
        <v>675.99654535559239</v>
      </c>
      <c r="W59" s="69">
        <f>(C59-B59)/B59</f>
        <v>7.283928247870991E-2</v>
      </c>
      <c r="X59" s="70">
        <f>(D59-C59)/C59</f>
        <v>0.11126498902212464</v>
      </c>
      <c r="Y59" s="70">
        <f>(E59-D59)/D59</f>
        <v>3.3435666737590807E-3</v>
      </c>
      <c r="Z59" s="6">
        <f>(K59-E59)/E59</f>
        <v>2.0005364265707273E-2</v>
      </c>
      <c r="AA59" s="6">
        <f t="shared" si="7"/>
        <v>2.087213924426173E-2</v>
      </c>
      <c r="AB59" s="6">
        <f t="shared" si="8"/>
        <v>1.9667008319272927E-2</v>
      </c>
      <c r="AC59" s="33" t="s">
        <v>55</v>
      </c>
    </row>
    <row r="60" spans="1:29" x14ac:dyDescent="0.35">
      <c r="A60" s="11" t="s">
        <v>56</v>
      </c>
      <c r="B60" s="52">
        <v>19881</v>
      </c>
      <c r="C60" s="53">
        <v>22380</v>
      </c>
      <c r="D60" s="53">
        <v>22913</v>
      </c>
      <c r="E60" s="55">
        <v>21967</v>
      </c>
      <c r="F60" s="2">
        <v>21839.106578873616</v>
      </c>
      <c r="G60" s="1">
        <v>21708.213157747232</v>
      </c>
      <c r="H60" s="1">
        <v>21597.319736620848</v>
      </c>
      <c r="I60" s="1">
        <v>23066</v>
      </c>
      <c r="J60" s="77">
        <v>23163</v>
      </c>
      <c r="K60" s="78">
        <v>24341.80914583163</v>
      </c>
      <c r="L60" s="79">
        <v>25546.998179587939</v>
      </c>
      <c r="M60" s="43">
        <v>26789.249468350135</v>
      </c>
      <c r="N60" s="43">
        <v>28142.676162862848</v>
      </c>
      <c r="O60" s="19">
        <v>29645.710096340175</v>
      </c>
      <c r="P60" s="2"/>
      <c r="Q60" s="62">
        <f>C60-B60</f>
        <v>2499</v>
      </c>
      <c r="R60" s="63">
        <f>D60-C60</f>
        <v>533</v>
      </c>
      <c r="S60" s="63">
        <f>E60-D60</f>
        <v>-946</v>
      </c>
      <c r="T60" s="13">
        <f>K60-E60</f>
        <v>2374.8091458316303</v>
      </c>
      <c r="U60" s="13">
        <f t="shared" ref="U60:U63" si="9">M60-K60</f>
        <v>2447.4403225185051</v>
      </c>
      <c r="V60" s="13">
        <f t="shared" ref="V60:V63" si="10">O60-M60</f>
        <v>2856.4606279900399</v>
      </c>
      <c r="W60" s="69">
        <f>(C60-B60)/B60</f>
        <v>0.12569790251999396</v>
      </c>
      <c r="X60" s="70">
        <f>(D60-C60)/C60</f>
        <v>2.3815907059874887E-2</v>
      </c>
      <c r="Y60" s="70">
        <f>(E60-D60)/D60</f>
        <v>-4.1286605856937109E-2</v>
      </c>
      <c r="Z60" s="6">
        <f>(K60-E60)/E60</f>
        <v>0.10810803231354442</v>
      </c>
      <c r="AA60" s="6">
        <f t="shared" si="7"/>
        <v>0.10054471743886845</v>
      </c>
      <c r="AB60" s="6">
        <f t="shared" si="8"/>
        <v>0.10662712411427479</v>
      </c>
      <c r="AC60" s="33" t="s">
        <v>56</v>
      </c>
    </row>
    <row r="61" spans="1:29" x14ac:dyDescent="0.35">
      <c r="A61" s="11" t="s">
        <v>57</v>
      </c>
      <c r="B61" s="52">
        <v>46860</v>
      </c>
      <c r="C61" s="53">
        <v>49756</v>
      </c>
      <c r="D61" s="53">
        <v>52947</v>
      </c>
      <c r="E61" s="54">
        <v>59183</v>
      </c>
      <c r="F61" s="2">
        <v>59591.755597448253</v>
      </c>
      <c r="G61" s="1">
        <v>59935.511194896506</v>
      </c>
      <c r="H61" s="1">
        <v>60408.266792344759</v>
      </c>
      <c r="I61" s="1">
        <v>58959</v>
      </c>
      <c r="J61" s="77">
        <v>58898</v>
      </c>
      <c r="K61" s="78">
        <v>58344.791804439039</v>
      </c>
      <c r="L61" s="79">
        <v>57560.87049544308</v>
      </c>
      <c r="M61" s="43">
        <v>56506.511536391037</v>
      </c>
      <c r="N61" s="43">
        <v>55317.405817267951</v>
      </c>
      <c r="O61" s="19">
        <v>54029.393462785491</v>
      </c>
      <c r="P61" s="2"/>
      <c r="Q61" s="62">
        <f>C61-B61</f>
        <v>2896</v>
      </c>
      <c r="R61" s="63">
        <f>D61-C61</f>
        <v>3191</v>
      </c>
      <c r="S61" s="63">
        <f>E61-D61</f>
        <v>6236</v>
      </c>
      <c r="T61" s="13">
        <f>K61-E61</f>
        <v>-838.20819556096103</v>
      </c>
      <c r="U61" s="13">
        <f t="shared" si="9"/>
        <v>-1838.2802680480017</v>
      </c>
      <c r="V61" s="13">
        <f t="shared" si="10"/>
        <v>-2477.1180736055467</v>
      </c>
      <c r="W61" s="69">
        <f>(C61-B61)/B61</f>
        <v>6.1801109688433629E-2</v>
      </c>
      <c r="X61" s="70">
        <f>(D61-C61)/C61</f>
        <v>6.4132968888174297E-2</v>
      </c>
      <c r="Y61" s="70">
        <f>(E61-D61)/D61</f>
        <v>0.11777815551400457</v>
      </c>
      <c r="Z61" s="6">
        <f>(K61-E61)/E61</f>
        <v>-1.4162989296942721E-2</v>
      </c>
      <c r="AA61" s="6">
        <f t="shared" ref="AA61:AA63" si="11">(M61-K61)/K61</f>
        <v>-3.150718703752646E-2</v>
      </c>
      <c r="AB61" s="6">
        <f t="shared" ref="AB61:AB63" si="12">(O61-M61)/M61</f>
        <v>-4.3837745531508272E-2</v>
      </c>
      <c r="AC61" s="33" t="s">
        <v>57</v>
      </c>
    </row>
    <row r="62" spans="1:29" x14ac:dyDescent="0.35">
      <c r="A62" s="11" t="s">
        <v>59</v>
      </c>
      <c r="B62" s="52">
        <v>50009</v>
      </c>
      <c r="C62" s="53">
        <v>64742</v>
      </c>
      <c r="D62" s="53">
        <v>83593</v>
      </c>
      <c r="E62" s="55">
        <v>91103</v>
      </c>
      <c r="F62" s="2">
        <v>91574.330076246653</v>
      </c>
      <c r="G62" s="1">
        <v>92655.660152493307</v>
      </c>
      <c r="H62" s="1">
        <v>93955.99022873996</v>
      </c>
      <c r="I62" s="1">
        <v>97046</v>
      </c>
      <c r="J62" s="77">
        <v>98206.000000000015</v>
      </c>
      <c r="K62" s="78">
        <v>106425.74053227274</v>
      </c>
      <c r="L62" s="79">
        <v>115769.01382916668</v>
      </c>
      <c r="M62" s="43">
        <v>126142.68421037254</v>
      </c>
      <c r="N62" s="43">
        <v>137582.579879731</v>
      </c>
      <c r="O62" s="19">
        <v>150180.04127338159</v>
      </c>
      <c r="P62" s="2"/>
      <c r="Q62" s="62">
        <f>C62-B62</f>
        <v>14733</v>
      </c>
      <c r="R62" s="63">
        <f>D62-C62</f>
        <v>18851</v>
      </c>
      <c r="S62" s="63">
        <f>E62-D62</f>
        <v>7510</v>
      </c>
      <c r="T62" s="13">
        <f>K62-E62</f>
        <v>15322.740532272743</v>
      </c>
      <c r="U62" s="13">
        <f>M63-K62</f>
        <v>174935.4395763069</v>
      </c>
      <c r="V62" s="13">
        <f>O63-M63</f>
        <v>24304.871286911599</v>
      </c>
      <c r="W62" s="69">
        <f>(C62-B62)/B62</f>
        <v>0.29460697074526587</v>
      </c>
      <c r="X62" s="70">
        <f>(D62-C62)/C62</f>
        <v>0.29117110994408574</v>
      </c>
      <c r="Y62" s="70">
        <f>(E62-D62)/D62</f>
        <v>8.9840058378093862E-2</v>
      </c>
      <c r="Z62" s="6">
        <f>(K62-E62)/E62</f>
        <v>0.16819139361242486</v>
      </c>
      <c r="AA62" s="6">
        <f>(M63-K62)/K62</f>
        <v>1.6437324156862141</v>
      </c>
      <c r="AB62" s="6">
        <f>(O63-M63)/M63</f>
        <v>8.638317225401225E-2</v>
      </c>
      <c r="AC62" s="33" t="s">
        <v>59</v>
      </c>
    </row>
    <row r="63" spans="1:29" x14ac:dyDescent="0.35">
      <c r="A63" s="11" t="s">
        <v>58</v>
      </c>
      <c r="B63" s="52">
        <v>99358</v>
      </c>
      <c r="C63" s="53">
        <v>143293</v>
      </c>
      <c r="D63" s="53">
        <v>195085</v>
      </c>
      <c r="E63" s="55">
        <v>223024</v>
      </c>
      <c r="F63" s="2">
        <v>225359.4750350175</v>
      </c>
      <c r="G63" s="1">
        <v>227016.950070035</v>
      </c>
      <c r="H63" s="1">
        <v>228755.42510505251</v>
      </c>
      <c r="I63" s="1">
        <v>235806</v>
      </c>
      <c r="J63" s="77">
        <v>238552</v>
      </c>
      <c r="K63" s="78">
        <v>253473.84128105431</v>
      </c>
      <c r="L63" s="79">
        <v>267690.73861180095</v>
      </c>
      <c r="M63" s="43">
        <v>281361.18010857963</v>
      </c>
      <c r="N63" s="43">
        <v>294047.97643542191</v>
      </c>
      <c r="O63" s="19">
        <v>305666.05139549123</v>
      </c>
      <c r="P63" s="2"/>
      <c r="Q63" s="62">
        <f>C63-B63</f>
        <v>43935</v>
      </c>
      <c r="R63" s="63">
        <f>D63-C63</f>
        <v>51792</v>
      </c>
      <c r="S63" s="63">
        <f>E63-D63</f>
        <v>27939</v>
      </c>
      <c r="T63" s="13">
        <f>K63-E63</f>
        <v>30449.841281054309</v>
      </c>
      <c r="U63" s="13">
        <f>M62-K63</f>
        <v>-127331.15707068177</v>
      </c>
      <c r="V63" s="13">
        <f>O62-M62</f>
        <v>24037.357063009054</v>
      </c>
      <c r="W63" s="69">
        <f>(C63-B63)/B63</f>
        <v>0.44218885243261741</v>
      </c>
      <c r="X63" s="70">
        <f>(D63-C63)/C63</f>
        <v>0.36144124276831385</v>
      </c>
      <c r="Y63" s="70">
        <f>(E63-D63)/D63</f>
        <v>0.14321449624522645</v>
      </c>
      <c r="Z63" s="6">
        <f>(K63-E63)/E63</f>
        <v>0.13653167946523381</v>
      </c>
      <c r="AA63" s="6">
        <f>(M62-K63)/K63</f>
        <v>-0.50234436984562725</v>
      </c>
      <c r="AB63" s="6">
        <f>(O62-M62)/M62</f>
        <v>0.19055688574789734</v>
      </c>
      <c r="AC63" s="33" t="s">
        <v>58</v>
      </c>
    </row>
    <row r="64" spans="1:29" x14ac:dyDescent="0.35">
      <c r="A64" s="11" t="s">
        <v>60</v>
      </c>
      <c r="B64" s="52">
        <v>16174</v>
      </c>
      <c r="C64" s="53">
        <v>14798</v>
      </c>
      <c r="D64" s="53">
        <v>13763</v>
      </c>
      <c r="E64" s="55">
        <v>12345</v>
      </c>
      <c r="F64" s="2">
        <v>12175.053919701737</v>
      </c>
      <c r="G64" s="1">
        <v>12033.107839403474</v>
      </c>
      <c r="H64" s="1">
        <v>11891.161759105211</v>
      </c>
      <c r="I64" s="1">
        <v>11631.325800000002</v>
      </c>
      <c r="J64" s="77">
        <v>11588</v>
      </c>
      <c r="K64" s="78">
        <v>10708.528464244722</v>
      </c>
      <c r="L64" s="79">
        <v>9783.6307318921354</v>
      </c>
      <c r="M64" s="43">
        <v>8789.7935134361069</v>
      </c>
      <c r="N64" s="43">
        <v>7783.2783725968757</v>
      </c>
      <c r="O64" s="19">
        <v>7007.2054457610757</v>
      </c>
      <c r="P64" s="2"/>
      <c r="Q64" s="62">
        <f>C64-B64</f>
        <v>-1376</v>
      </c>
      <c r="R64" s="63">
        <f>D64-C64</f>
        <v>-1035</v>
      </c>
      <c r="S64" s="63">
        <f>E64-D64</f>
        <v>-1418</v>
      </c>
      <c r="T64" s="13">
        <f>K64-E64</f>
        <v>-1636.4715357552777</v>
      </c>
      <c r="U64" s="13">
        <f t="shared" ref="U64:U71" si="13">M64-K64</f>
        <v>-1918.7349508086154</v>
      </c>
      <c r="V64" s="13">
        <f t="shared" ref="V64:V71" si="14">O64-M64</f>
        <v>-1782.5880676750312</v>
      </c>
      <c r="W64" s="69">
        <f>(C64-B64)/B64</f>
        <v>-8.5074811425745023E-2</v>
      </c>
      <c r="X64" s="70">
        <f>(D64-C64)/C64</f>
        <v>-6.994188403838357E-2</v>
      </c>
      <c r="Y64" s="70">
        <f>(E64-D64)/D64</f>
        <v>-0.10302986267528882</v>
      </c>
      <c r="Z64" s="6">
        <f>(K64-E64)/E64</f>
        <v>-0.13256148527786779</v>
      </c>
      <c r="AA64" s="6">
        <f t="shared" ref="AA64:AA71" si="15">(M64-K64)/K64</f>
        <v>-0.17917820895888562</v>
      </c>
      <c r="AB64" s="6">
        <f t="shared" ref="AB64:AB71" si="16">(O64-M64)/M64</f>
        <v>-0.20280204136196844</v>
      </c>
      <c r="AC64" s="33" t="s">
        <v>60</v>
      </c>
    </row>
    <row r="65" spans="1:29" x14ac:dyDescent="0.35">
      <c r="A65" s="11" t="s">
        <v>61</v>
      </c>
      <c r="B65" s="52">
        <v>74107</v>
      </c>
      <c r="C65" s="53">
        <v>80321</v>
      </c>
      <c r="D65" s="53">
        <v>82291</v>
      </c>
      <c r="E65" s="55">
        <v>82149</v>
      </c>
      <c r="F65" s="2">
        <v>82025.206364461803</v>
      </c>
      <c r="G65" s="1">
        <v>81661.412728923606</v>
      </c>
      <c r="H65" s="1">
        <v>81504.619093385409</v>
      </c>
      <c r="I65" s="1">
        <v>81481</v>
      </c>
      <c r="J65" s="77">
        <v>81603</v>
      </c>
      <c r="K65" s="78">
        <v>80607.255673889798</v>
      </c>
      <c r="L65" s="79">
        <v>78998.897713405458</v>
      </c>
      <c r="M65" s="43">
        <v>76890.462886221605</v>
      </c>
      <c r="N65" s="43">
        <v>74393.773293465594</v>
      </c>
      <c r="O65" s="19">
        <v>71743.062783742978</v>
      </c>
      <c r="P65" s="2"/>
      <c r="Q65" s="62">
        <f>C65-B65</f>
        <v>6214</v>
      </c>
      <c r="R65" s="63">
        <f>D65-C65</f>
        <v>1970</v>
      </c>
      <c r="S65" s="63">
        <f>E65-D65</f>
        <v>-142</v>
      </c>
      <c r="T65" s="13">
        <f>K65-E65</f>
        <v>-1541.7443261102017</v>
      </c>
      <c r="U65" s="13">
        <f t="shared" si="13"/>
        <v>-3716.7927876681933</v>
      </c>
      <c r="V65" s="13">
        <f t="shared" si="14"/>
        <v>-5147.4001024786266</v>
      </c>
      <c r="W65" s="69">
        <f>(C65-B65)/B65</f>
        <v>8.3851727906945367E-2</v>
      </c>
      <c r="X65" s="70">
        <f>(D65-C65)/C65</f>
        <v>2.4526587069384095E-2</v>
      </c>
      <c r="Y65" s="70">
        <f>(E65-D65)/D65</f>
        <v>-1.7255835996646048E-3</v>
      </c>
      <c r="Z65" s="6">
        <f>(K65-E65)/E65</f>
        <v>-1.876765786692719E-2</v>
      </c>
      <c r="AA65" s="6">
        <f t="shared" si="15"/>
        <v>-4.6109903588643475E-2</v>
      </c>
      <c r="AB65" s="6">
        <f t="shared" si="16"/>
        <v>-6.6944584663191253E-2</v>
      </c>
      <c r="AC65" s="33" t="s">
        <v>61</v>
      </c>
    </row>
    <row r="66" spans="1:29" x14ac:dyDescent="0.35">
      <c r="A66" s="11" t="s">
        <v>62</v>
      </c>
      <c r="B66" s="52">
        <v>38826</v>
      </c>
      <c r="C66" s="53">
        <v>41475</v>
      </c>
      <c r="D66" s="53">
        <v>41616</v>
      </c>
      <c r="E66" s="54">
        <v>41311</v>
      </c>
      <c r="F66" s="2">
        <v>41181.134086405116</v>
      </c>
      <c r="G66" s="1">
        <v>40967.268172810232</v>
      </c>
      <c r="H66" s="1">
        <v>40792.402259215349</v>
      </c>
      <c r="I66" s="1">
        <v>40892</v>
      </c>
      <c r="J66" s="77">
        <v>40953</v>
      </c>
      <c r="K66" s="78">
        <v>40250.690860444309</v>
      </c>
      <c r="L66" s="79">
        <v>39198.126494681565</v>
      </c>
      <c r="M66" s="43">
        <v>37902.04749500304</v>
      </c>
      <c r="N66" s="43">
        <v>36460.000815865096</v>
      </c>
      <c r="O66" s="19">
        <v>34990.464295909434</v>
      </c>
      <c r="P66" s="2"/>
      <c r="Q66" s="62">
        <f>C66-B66</f>
        <v>2649</v>
      </c>
      <c r="R66" s="63">
        <f>D66-C66</f>
        <v>141</v>
      </c>
      <c r="S66" s="63">
        <f>E66-D66</f>
        <v>-305</v>
      </c>
      <c r="T66" s="13">
        <f>K66-E66</f>
        <v>-1060.3091395556912</v>
      </c>
      <c r="U66" s="13">
        <f t="shared" si="13"/>
        <v>-2348.6433654412685</v>
      </c>
      <c r="V66" s="13">
        <f t="shared" si="14"/>
        <v>-2911.5831990936058</v>
      </c>
      <c r="W66" s="69">
        <f>(C66-B66)/B66</f>
        <v>6.8227476433317877E-2</v>
      </c>
      <c r="X66" s="70">
        <f>(D66-C66)/C66</f>
        <v>3.399638336347197E-3</v>
      </c>
      <c r="Y66" s="70">
        <f>(E66-D66)/D66</f>
        <v>-7.3289119569396382E-3</v>
      </c>
      <c r="Z66" s="6">
        <f>(K66-E66)/E66</f>
        <v>-2.5666508667320839E-2</v>
      </c>
      <c r="AA66" s="6">
        <f t="shared" si="15"/>
        <v>-5.8350386421549806E-2</v>
      </c>
      <c r="AB66" s="6">
        <f t="shared" si="16"/>
        <v>-7.6818625681830649E-2</v>
      </c>
      <c r="AC66" s="33" t="s">
        <v>62</v>
      </c>
    </row>
    <row r="67" spans="1:29" x14ac:dyDescent="0.35">
      <c r="A67" s="11" t="s">
        <v>63</v>
      </c>
      <c r="B67" s="52">
        <v>150522</v>
      </c>
      <c r="C67" s="53">
        <v>164875</v>
      </c>
      <c r="D67" s="53">
        <v>194656</v>
      </c>
      <c r="E67" s="55">
        <v>227036.00000000003</v>
      </c>
      <c r="F67" s="2">
        <v>230274.7894801092</v>
      </c>
      <c r="G67" s="1">
        <v>233246.57896021841</v>
      </c>
      <c r="H67" s="1">
        <v>236546.36844032761</v>
      </c>
      <c r="I67" s="1">
        <v>240880</v>
      </c>
      <c r="J67" s="77">
        <v>241368</v>
      </c>
      <c r="K67" s="78">
        <v>256734.13115984394</v>
      </c>
      <c r="L67" s="79">
        <v>267488.50834794139</v>
      </c>
      <c r="M67" s="43">
        <v>276965.18644087715</v>
      </c>
      <c r="N67" s="43">
        <v>287987.59008584562</v>
      </c>
      <c r="O67" s="19">
        <v>300324.85373425623</v>
      </c>
      <c r="P67" s="2"/>
      <c r="Q67" s="62">
        <f>C67-B67</f>
        <v>14353</v>
      </c>
      <c r="R67" s="63">
        <f>D67-C67</f>
        <v>29781</v>
      </c>
      <c r="S67" s="63">
        <f>E67-D67</f>
        <v>32380.000000000029</v>
      </c>
      <c r="T67" s="13">
        <f>K67-E67</f>
        <v>29698.131159843906</v>
      </c>
      <c r="U67" s="13">
        <f t="shared" si="13"/>
        <v>20231.055281033216</v>
      </c>
      <c r="V67" s="13">
        <f t="shared" si="14"/>
        <v>23359.667293379083</v>
      </c>
      <c r="W67" s="69">
        <f>(C67-B67)/B67</f>
        <v>9.5354831851822322E-2</v>
      </c>
      <c r="X67" s="70">
        <f>(D67-C67)/C67</f>
        <v>0.18062774829416225</v>
      </c>
      <c r="Y67" s="70">
        <f>(E67-D67)/D67</f>
        <v>0.16634473121814908</v>
      </c>
      <c r="Z67" s="6">
        <f>(K67-E67)/E67</f>
        <v>0.13080802674396969</v>
      </c>
      <c r="AA67" s="6">
        <f t="shared" si="15"/>
        <v>7.8801580411750005E-2</v>
      </c>
      <c r="AB67" s="6">
        <f t="shared" si="16"/>
        <v>8.4341528960953344E-2</v>
      </c>
      <c r="AC67" s="33" t="s">
        <v>63</v>
      </c>
    </row>
    <row r="68" spans="1:29" x14ac:dyDescent="0.35">
      <c r="A68" s="11" t="s">
        <v>64</v>
      </c>
      <c r="B68" s="52">
        <v>67670</v>
      </c>
      <c r="C68" s="53">
        <v>70713</v>
      </c>
      <c r="D68" s="53">
        <v>67023</v>
      </c>
      <c r="E68" s="55">
        <v>65342</v>
      </c>
      <c r="F68" s="2">
        <v>64850.099048081764</v>
      </c>
      <c r="G68" s="1">
        <v>64382.198096163527</v>
      </c>
      <c r="H68" s="1">
        <v>64178.297144245291</v>
      </c>
      <c r="I68" s="1">
        <v>65117</v>
      </c>
      <c r="J68" s="77">
        <v>65140</v>
      </c>
      <c r="K68" s="78">
        <v>65087.40353223517</v>
      </c>
      <c r="L68" s="79">
        <v>64672.570198901834</v>
      </c>
      <c r="M68" s="43">
        <v>64257.736865568513</v>
      </c>
      <c r="N68" s="43">
        <v>63842.903532235207</v>
      </c>
      <c r="O68" s="19">
        <v>63428.070198901856</v>
      </c>
      <c r="P68" s="2"/>
      <c r="Q68" s="62">
        <f>C68-B68</f>
        <v>3043</v>
      </c>
      <c r="R68" s="63">
        <f>D68-C68</f>
        <v>-3690</v>
      </c>
      <c r="S68" s="63">
        <f>E68-D68</f>
        <v>-1681</v>
      </c>
      <c r="T68" s="13">
        <f>K68-E68</f>
        <v>-254.59646776482987</v>
      </c>
      <c r="U68" s="13">
        <f t="shared" si="13"/>
        <v>-829.66666666665697</v>
      </c>
      <c r="V68" s="13">
        <f t="shared" si="14"/>
        <v>-829.66666666665697</v>
      </c>
      <c r="W68" s="69">
        <f>(C68-B68)/B68</f>
        <v>4.4968228166100195E-2</v>
      </c>
      <c r="X68" s="70">
        <f>(D68-C68)/C68</f>
        <v>-5.218276695939926E-2</v>
      </c>
      <c r="Y68" s="70">
        <f>(E68-D68)/D68</f>
        <v>-2.5080942363069392E-2</v>
      </c>
      <c r="Z68" s="6">
        <f>(K68-E68)/E68</f>
        <v>-3.8963678455638008E-3</v>
      </c>
      <c r="AA68" s="6">
        <f t="shared" si="15"/>
        <v>-1.2746962110045709E-2</v>
      </c>
      <c r="AB68" s="6">
        <f t="shared" si="16"/>
        <v>-1.2911545086039602E-2</v>
      </c>
      <c r="AC68" s="33" t="s">
        <v>64</v>
      </c>
    </row>
    <row r="69" spans="1:29" x14ac:dyDescent="0.35">
      <c r="A69" s="11" t="s">
        <v>65</v>
      </c>
      <c r="B69" s="52">
        <v>16694</v>
      </c>
      <c r="C69" s="53">
        <v>18097</v>
      </c>
      <c r="D69" s="53">
        <v>17581</v>
      </c>
      <c r="E69" s="55">
        <v>15387.999999999998</v>
      </c>
      <c r="F69" s="2">
        <v>15199.363071159869</v>
      </c>
      <c r="G69" s="1">
        <v>14978.726142319738</v>
      </c>
      <c r="H69" s="1">
        <v>14784.089213479607</v>
      </c>
      <c r="I69" s="1">
        <v>14972</v>
      </c>
      <c r="J69" s="77">
        <v>14822</v>
      </c>
      <c r="K69" s="78">
        <v>14203.91355415609</v>
      </c>
      <c r="L69" s="79">
        <v>13544.325592806734</v>
      </c>
      <c r="M69" s="43">
        <v>12851.617368965453</v>
      </c>
      <c r="N69" s="43">
        <v>12144.736325443833</v>
      </c>
      <c r="O69" s="19">
        <v>11467.064592046016</v>
      </c>
      <c r="P69" s="2"/>
      <c r="Q69" s="62">
        <f>C69-B69</f>
        <v>1403</v>
      </c>
      <c r="R69" s="63">
        <f>D69-C69</f>
        <v>-516</v>
      </c>
      <c r="S69" s="63">
        <f>E69-D69</f>
        <v>-2193.0000000000018</v>
      </c>
      <c r="T69" s="13">
        <f>K69-E69</f>
        <v>-1184.0864458439082</v>
      </c>
      <c r="U69" s="13">
        <f t="shared" si="13"/>
        <v>-1352.2961851906366</v>
      </c>
      <c r="V69" s="13">
        <f t="shared" si="14"/>
        <v>-1384.5527769194377</v>
      </c>
      <c r="W69" s="69">
        <f>(C69-B69)/B69</f>
        <v>8.4042170839822697E-2</v>
      </c>
      <c r="X69" s="70">
        <f>(D69-C69)/C69</f>
        <v>-2.8513013206608831E-2</v>
      </c>
      <c r="Y69" s="70">
        <f>(E69-D69)/D69</f>
        <v>-0.12473693191513577</v>
      </c>
      <c r="Z69" s="6">
        <f>(K69-E69)/E69</f>
        <v>-7.6948690267995085E-2</v>
      </c>
      <c r="AA69" s="6">
        <f t="shared" si="15"/>
        <v>-9.5205886746258919E-2</v>
      </c>
      <c r="AB69" s="6">
        <f t="shared" si="16"/>
        <v>-0.10773373787667422</v>
      </c>
      <c r="AC69" s="33" t="s">
        <v>65</v>
      </c>
    </row>
    <row r="70" spans="1:29" x14ac:dyDescent="0.35">
      <c r="A70" s="11" t="s">
        <v>66</v>
      </c>
      <c r="B70" s="52">
        <v>13568</v>
      </c>
      <c r="C70" s="53">
        <v>13183</v>
      </c>
      <c r="D70" s="53">
        <v>11670</v>
      </c>
      <c r="E70" s="55">
        <v>10600</v>
      </c>
      <c r="F70" s="2">
        <v>10473.109448611163</v>
      </c>
      <c r="G70" s="1">
        <v>10318.218897222327</v>
      </c>
      <c r="H70" s="1">
        <v>10187.32834583349</v>
      </c>
      <c r="I70" s="1">
        <v>9890</v>
      </c>
      <c r="J70" s="77">
        <v>9666</v>
      </c>
      <c r="K70" s="78">
        <v>8739.9617302219231</v>
      </c>
      <c r="L70" s="79">
        <v>7814.7724332955795</v>
      </c>
      <c r="M70" s="43">
        <v>6909.4613231479671</v>
      </c>
      <c r="N70" s="43">
        <v>6080.6392408728525</v>
      </c>
      <c r="O70" s="19">
        <v>5320.9069100318384</v>
      </c>
      <c r="P70" s="2"/>
      <c r="Q70" s="62">
        <f>C70-B70</f>
        <v>-385</v>
      </c>
      <c r="R70" s="63">
        <f>D70-C70</f>
        <v>-1513</v>
      </c>
      <c r="S70" s="63">
        <f>E70-D70</f>
        <v>-1070</v>
      </c>
      <c r="T70" s="13">
        <f>K70-E70</f>
        <v>-1860.0382697780769</v>
      </c>
      <c r="U70" s="13">
        <f t="shared" si="13"/>
        <v>-1830.500407073956</v>
      </c>
      <c r="V70" s="13">
        <f t="shared" si="14"/>
        <v>-1588.5544131161287</v>
      </c>
      <c r="W70" s="69">
        <f>(C70-B70)/B70</f>
        <v>-2.8375589622641511E-2</v>
      </c>
      <c r="X70" s="70">
        <f>(D70-C70)/C70</f>
        <v>-0.1147690207084882</v>
      </c>
      <c r="Y70" s="70">
        <f>(E70-D70)/D70</f>
        <v>-9.1688089117395025E-2</v>
      </c>
      <c r="Z70" s="6">
        <f>(K70-E70)/E70</f>
        <v>-0.17547530846962989</v>
      </c>
      <c r="AA70" s="6">
        <f t="shared" si="15"/>
        <v>-0.20944032291860806</v>
      </c>
      <c r="AB70" s="6">
        <f t="shared" si="16"/>
        <v>-0.22991002320168999</v>
      </c>
      <c r="AC70" s="33" t="s">
        <v>66</v>
      </c>
    </row>
    <row r="71" spans="1:29" ht="15" thickBot="1" x14ac:dyDescent="0.4">
      <c r="A71" s="12" t="s">
        <v>67</v>
      </c>
      <c r="B71" s="56">
        <v>22053</v>
      </c>
      <c r="C71" s="57">
        <v>24843</v>
      </c>
      <c r="D71" s="57">
        <v>24484</v>
      </c>
      <c r="E71" s="58">
        <v>23540</v>
      </c>
      <c r="F71" s="3">
        <v>23397.521542982493</v>
      </c>
      <c r="G71" s="4">
        <v>23199.043085964986</v>
      </c>
      <c r="H71" s="4">
        <v>23086.564628947479</v>
      </c>
      <c r="I71" s="4">
        <v>23870</v>
      </c>
      <c r="J71" s="80">
        <v>23829</v>
      </c>
      <c r="K71" s="81">
        <v>24015.301612667332</v>
      </c>
      <c r="L71" s="82">
        <v>24099.949159751246</v>
      </c>
      <c r="M71" s="4">
        <v>24164.247611008748</v>
      </c>
      <c r="N71" s="4">
        <v>24214.384615822699</v>
      </c>
      <c r="O71" s="20">
        <v>24286.624334953231</v>
      </c>
      <c r="P71" s="3"/>
      <c r="Q71" s="64">
        <f>C71-B71</f>
        <v>2790</v>
      </c>
      <c r="R71" s="65">
        <f>D71-C71</f>
        <v>-359</v>
      </c>
      <c r="S71" s="65">
        <f>E71-D71</f>
        <v>-944</v>
      </c>
      <c r="T71" s="14">
        <f>K71-E71</f>
        <v>475.30161266733194</v>
      </c>
      <c r="U71" s="14">
        <f t="shared" si="13"/>
        <v>148.94599834141627</v>
      </c>
      <c r="V71" s="14">
        <f t="shared" si="14"/>
        <v>122.37672394448236</v>
      </c>
      <c r="W71" s="71">
        <f>(C71-B71)/B71</f>
        <v>0.12651339953747789</v>
      </c>
      <c r="X71" s="72">
        <f>(D71-C71)/C71</f>
        <v>-1.4450750714486978E-2</v>
      </c>
      <c r="Y71" s="72">
        <f>(E71-D71)/D71</f>
        <v>-3.8555791537330499E-2</v>
      </c>
      <c r="Z71" s="7">
        <f>(K71-E71)/E71</f>
        <v>2.0191232483743923E-2</v>
      </c>
      <c r="AA71" s="7">
        <f t="shared" si="15"/>
        <v>6.2021289902456124E-3</v>
      </c>
      <c r="AB71" s="7">
        <f t="shared" si="16"/>
        <v>5.0643713768571868E-3</v>
      </c>
      <c r="AC71" s="34" t="s">
        <v>67</v>
      </c>
    </row>
    <row r="72" spans="1:29" ht="15" thickTop="1" x14ac:dyDescent="0.35">
      <c r="A72" s="24" t="s">
        <v>80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4" spans="1:29" x14ac:dyDescent="0.35">
      <c r="J74" s="1"/>
      <c r="K74" s="1"/>
      <c r="L74" s="1"/>
    </row>
  </sheetData>
  <mergeCells count="6">
    <mergeCell ref="A1:AC1"/>
    <mergeCell ref="B2:E2"/>
    <mergeCell ref="F2:J2"/>
    <mergeCell ref="K2:O2"/>
    <mergeCell ref="Q2:V2"/>
    <mergeCell ref="W2:AB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Projections!B4:O4</xm:f>
              <xm:sqref>P4</xm:sqref>
            </x14:sparkline>
            <x14:sparkline>
              <xm:f>Projections!B5:O5</xm:f>
              <xm:sqref>P5</xm:sqref>
            </x14:sparkline>
            <x14:sparkline>
              <xm:f>Projections!B6:O6</xm:f>
              <xm:sqref>P6</xm:sqref>
            </x14:sparkline>
            <x14:sparkline>
              <xm:f>Projections!B7:O7</xm:f>
              <xm:sqref>P7</xm:sqref>
            </x14:sparkline>
            <x14:sparkline>
              <xm:f>Projections!B8:O8</xm:f>
              <xm:sqref>P8</xm:sqref>
            </x14:sparkline>
            <x14:sparkline>
              <xm:f>Projections!B9:O9</xm:f>
              <xm:sqref>P9</xm:sqref>
            </x14:sparkline>
            <x14:sparkline>
              <xm:f>Projections!B10:O10</xm:f>
              <xm:sqref>P10</xm:sqref>
            </x14:sparkline>
            <x14:sparkline>
              <xm:f>Projections!B11:O11</xm:f>
              <xm:sqref>P11</xm:sqref>
            </x14:sparkline>
            <x14:sparkline>
              <xm:f>Projections!B12:O12</xm:f>
              <xm:sqref>P12</xm:sqref>
            </x14:sparkline>
            <x14:sparkline>
              <xm:f>Projections!B13:O13</xm:f>
              <xm:sqref>P13</xm:sqref>
            </x14:sparkline>
            <x14:sparkline>
              <xm:f>Projections!B14:O14</xm:f>
              <xm:sqref>P14</xm:sqref>
            </x14:sparkline>
            <x14:sparkline>
              <xm:f>Projections!B15:O15</xm:f>
              <xm:sqref>P15</xm:sqref>
            </x14:sparkline>
            <x14:sparkline>
              <xm:f>Projections!B16:O16</xm:f>
              <xm:sqref>P16</xm:sqref>
            </x14:sparkline>
            <x14:sparkline>
              <xm:f>Projections!B17:O17</xm:f>
              <xm:sqref>P17</xm:sqref>
            </x14:sparkline>
            <x14:sparkline>
              <xm:f>Projections!B18:O18</xm:f>
              <xm:sqref>P18</xm:sqref>
            </x14:sparkline>
            <x14:sparkline>
              <xm:f>Projections!B19:O19</xm:f>
              <xm:sqref>P19</xm:sqref>
            </x14:sparkline>
            <x14:sparkline>
              <xm:f>Projections!B20:O20</xm:f>
              <xm:sqref>P20</xm:sqref>
            </x14:sparkline>
            <x14:sparkline>
              <xm:f>Projections!B21:O21</xm:f>
              <xm:sqref>P21</xm:sqref>
            </x14:sparkline>
            <x14:sparkline>
              <xm:f>Projections!B22:O22</xm:f>
              <xm:sqref>P22</xm:sqref>
            </x14:sparkline>
            <x14:sparkline>
              <xm:f>Projections!B23:O23</xm:f>
              <xm:sqref>P23</xm:sqref>
            </x14:sparkline>
            <x14:sparkline>
              <xm:f>Projections!B24:O24</xm:f>
              <xm:sqref>P24</xm:sqref>
            </x14:sparkline>
            <x14:sparkline>
              <xm:f>Projections!B25:O25</xm:f>
              <xm:sqref>P25</xm:sqref>
            </x14:sparkline>
            <x14:sparkline>
              <xm:f>Projections!B26:O26</xm:f>
              <xm:sqref>P26</xm:sqref>
            </x14:sparkline>
            <x14:sparkline>
              <xm:f>Projections!B27:O27</xm:f>
              <xm:sqref>P27</xm:sqref>
            </x14:sparkline>
            <x14:sparkline>
              <xm:f>Projections!B28:O28</xm:f>
              <xm:sqref>P28</xm:sqref>
            </x14:sparkline>
            <x14:sparkline>
              <xm:f>Projections!B29:O29</xm:f>
              <xm:sqref>P29</xm:sqref>
            </x14:sparkline>
            <x14:sparkline>
              <xm:f>Projections!B30:O30</xm:f>
              <xm:sqref>P30</xm:sqref>
            </x14:sparkline>
            <x14:sparkline>
              <xm:f>Projections!B31:O31</xm:f>
              <xm:sqref>P31</xm:sqref>
            </x14:sparkline>
            <x14:sparkline>
              <xm:f>Projections!B32:O32</xm:f>
              <xm:sqref>P32</xm:sqref>
            </x14:sparkline>
            <x14:sparkline>
              <xm:f>Projections!B33:O33</xm:f>
              <xm:sqref>P33</xm:sqref>
            </x14:sparkline>
            <x14:sparkline>
              <xm:f>Projections!B34:O34</xm:f>
              <xm:sqref>P34</xm:sqref>
            </x14:sparkline>
            <x14:sparkline>
              <xm:f>Projections!B35:O35</xm:f>
              <xm:sqref>P35</xm:sqref>
            </x14:sparkline>
            <x14:sparkline>
              <xm:f>Projections!B36:O36</xm:f>
              <xm:sqref>P36</xm:sqref>
            </x14:sparkline>
            <x14:sparkline>
              <xm:f>Projections!B37:O37</xm:f>
              <xm:sqref>P37</xm:sqref>
            </x14:sparkline>
            <x14:sparkline>
              <xm:f>Projections!B38:O38</xm:f>
              <xm:sqref>P38</xm:sqref>
            </x14:sparkline>
            <x14:sparkline>
              <xm:f>Projections!B39:O39</xm:f>
              <xm:sqref>P39</xm:sqref>
            </x14:sparkline>
            <x14:sparkline>
              <xm:f>Projections!B40:O40</xm:f>
              <xm:sqref>P40</xm:sqref>
            </x14:sparkline>
            <x14:sparkline>
              <xm:f>Projections!B41:O41</xm:f>
              <xm:sqref>P41</xm:sqref>
            </x14:sparkline>
            <x14:sparkline>
              <xm:f>Projections!B42:O42</xm:f>
              <xm:sqref>P42</xm:sqref>
            </x14:sparkline>
            <x14:sparkline>
              <xm:f>Projections!B43:O43</xm:f>
              <xm:sqref>P43</xm:sqref>
            </x14:sparkline>
            <x14:sparkline>
              <xm:f>Projections!B44:O44</xm:f>
              <xm:sqref>P44</xm:sqref>
            </x14:sparkline>
            <x14:sparkline>
              <xm:f>Projections!B45:O45</xm:f>
              <xm:sqref>P45</xm:sqref>
            </x14:sparkline>
            <x14:sparkline>
              <xm:f>Projections!B46:O46</xm:f>
              <xm:sqref>P46</xm:sqref>
            </x14:sparkline>
            <x14:sparkline>
              <xm:f>Projections!B47:O47</xm:f>
              <xm:sqref>P47</xm:sqref>
            </x14:sparkline>
            <x14:sparkline>
              <xm:f>Projections!B48:O48</xm:f>
              <xm:sqref>P48</xm:sqref>
            </x14:sparkline>
            <x14:sparkline>
              <xm:f>Projections!B49:O49</xm:f>
              <xm:sqref>P49</xm:sqref>
            </x14:sparkline>
            <x14:sparkline>
              <xm:f>Projections!B50:O50</xm:f>
              <xm:sqref>P50</xm:sqref>
            </x14:sparkline>
            <x14:sparkline>
              <xm:f>Projections!B51:O51</xm:f>
              <xm:sqref>P51</xm:sqref>
            </x14:sparkline>
            <x14:sparkline>
              <xm:f>Projections!B52:O52</xm:f>
              <xm:sqref>P52</xm:sqref>
            </x14:sparkline>
            <x14:sparkline>
              <xm:f>Projections!B53:O53</xm:f>
              <xm:sqref>P53</xm:sqref>
            </x14:sparkline>
            <x14:sparkline>
              <xm:f>Projections!B54:O54</xm:f>
              <xm:sqref>P54</xm:sqref>
            </x14:sparkline>
            <x14:sparkline>
              <xm:f>Projections!B55:O55</xm:f>
              <xm:sqref>P55</xm:sqref>
            </x14:sparkline>
            <x14:sparkline>
              <xm:f>Projections!B56:O56</xm:f>
              <xm:sqref>P56</xm:sqref>
            </x14:sparkline>
            <x14:sparkline>
              <xm:f>Projections!B57:O57</xm:f>
              <xm:sqref>P57</xm:sqref>
            </x14:sparkline>
            <x14:sparkline>
              <xm:f>Projections!B58:O58</xm:f>
              <xm:sqref>P58</xm:sqref>
            </x14:sparkline>
            <x14:sparkline>
              <xm:f>Projections!B59:O59</xm:f>
              <xm:sqref>P59</xm:sqref>
            </x14:sparkline>
            <x14:sparkline>
              <xm:f>Projections!B60:O60</xm:f>
              <xm:sqref>P60</xm:sqref>
            </x14:sparkline>
            <x14:sparkline>
              <xm:f>Projections!B61:O61</xm:f>
              <xm:sqref>P61</xm:sqref>
            </x14:sparkline>
            <x14:sparkline>
              <xm:f>Projections!B62:O62</xm:f>
              <xm:sqref>P62</xm:sqref>
            </x14:sparkline>
            <x14:sparkline>
              <xm:f>Projections!B63:O63</xm:f>
              <xm:sqref>P63</xm:sqref>
            </x14:sparkline>
            <x14:sparkline>
              <xm:f>Projections!B64:O64</xm:f>
              <xm:sqref>P64</xm:sqref>
            </x14:sparkline>
            <x14:sparkline>
              <xm:f>Projections!B65:O65</xm:f>
              <xm:sqref>P65</xm:sqref>
            </x14:sparkline>
            <x14:sparkline>
              <xm:f>Projections!B66:O66</xm:f>
              <xm:sqref>P66</xm:sqref>
            </x14:sparkline>
            <x14:sparkline>
              <xm:f>Projections!B67:O67</xm:f>
              <xm:sqref>P67</xm:sqref>
            </x14:sparkline>
            <x14:sparkline>
              <xm:f>Projections!B68:O68</xm:f>
              <xm:sqref>P68</xm:sqref>
            </x14:sparkline>
            <x14:sparkline>
              <xm:f>Projections!B69:O69</xm:f>
              <xm:sqref>P69</xm:sqref>
            </x14:sparkline>
            <x14:sparkline>
              <xm:f>Projections!B70:O70</xm:f>
              <xm:sqref>P70</xm:sqref>
            </x14:sparkline>
            <x14:sparkline>
              <xm:f>Projections!B71:O71</xm:f>
              <xm:sqref>P71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Nyesha C</dc:creator>
  <cp:lastModifiedBy>Nyesha Black</cp:lastModifiedBy>
  <dcterms:created xsi:type="dcterms:W3CDTF">2024-09-05T19:10:42Z</dcterms:created>
  <dcterms:modified xsi:type="dcterms:W3CDTF">2026-09-24T21:40:11Z</dcterms:modified>
</cp:coreProperties>
</file>